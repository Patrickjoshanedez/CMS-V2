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Gantt Chart - EX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<sst xmlns="http://schemas.openxmlformats.org/spreadsheetml/2006/main" count="334" uniqueCount="184">
  <si>
    <t xml:space="preserve">CAPSTONE PROJECT AND RESEARCH 2 GANTT CHART </t>
  </si>
  <si>
    <t>CAPSTONE PROJECT TITLE</t>
  </si>
  <si>
    <t>Project Workspace: Capstone Management System with Plagiarism Checker</t>
  </si>
  <si>
    <t>NAME OF STUDENTS</t>
  </si>
  <si>
    <t xml:space="preserve">Añedez, Patrick Josh, Antipuesto, Throylan, Bautista, Steven Joe, Canoy, Chijay
</t>
  </si>
  <si>
    <t>NAME OF ADVISER</t>
  </si>
  <si>
    <t>Glaiza Mae A. Libe</t>
  </si>
  <si>
    <t>SECTION CODE / SCHEDULE</t>
  </si>
  <si>
    <t>T87 / TF 10:00AM-12:30PM</t>
  </si>
  <si>
    <t>OVERALL ACCOMPLISHMENT</t>
  </si>
  <si>
    <t>as of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</si>
  <si>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</si>
  <si>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</si>
  <si>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</si>
  <si>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</si>
  <si>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</si>
  <si>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</si>
  <si>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</si>
  <si>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</si>
  <si>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%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</si>
  <si>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</si>
  <si>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</si>
  <si>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</si>
  <si>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</si>
  <si>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</si>
  <si>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</si>
  <si>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</si>
  <si>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</si>
  <si>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</si>
  <si>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</si>
  <si>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</si>
  <si>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</si>
  <si>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</si>
  <si>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</si>
  <si>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</si>
  <si>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DATE</t>
  </si>
  <si>
    <t>IN DAYS</t>
  </si>
  <si>
    <t>COMPLETE</t>
  </si>
  <si>
    <t>M</t>
  </si>
  <si>
    <t>T</t>
  </si>
  <si>
    <t>W</t>
  </si>
  <si>
    <t>F</t>
  </si>
  <si>
    <t>R</t>
  </si>
  <si>
    <t>Phase 1: Data Gathering &amp; Analysis</t>
  </si>
  <si>
    <t>Planning</t>
  </si>
  <si>
    <t>Data collection</t>
  </si>
  <si>
    <t>Annotation &amp; validation</t>
  </si>
  <si>
    <t>Initial training</t>
  </si>
  <si>
    <t>Testing &amp; refinement</t>
  </si>
  <si>
    <t>Integration &amp; real-time detection</t>
  </si>
  <si>
    <t>Crushing risk logic</t>
  </si>
  <si>
    <t xml:space="preserve"> Health &amp; analytics</t>
  </si>
  <si>
    <t>Prediction validation</t>
  </si>
  <si>
    <t>Integration</t>
  </si>
  <si>
    <t>Testing &amp; optimization</t>
  </si>
  <si>
    <t>Documentation &amp; defense prep</t>
  </si>
  <si>
    <t>Document Analysis: Review university policies and capstone guidelines.</t>
  </si>
  <si>
    <t>List the manual steps currently used to check for plagiarism.</t>
  </si>
  <si>
    <t>Antipuesto, Throylan</t>
  </si>
  <si>
    <t>Collect current University Capstone formatting guidelines.</t>
  </si>
  <si>
    <t>Identify specific metadata required for archiving (e.g., Year, Keywords, Adviser name).</t>
  </si>
  <si>
    <t>Key Informant Interviews: Consult with advisers and panel members.</t>
  </si>
  <si>
    <t>Draft interview questions for the Capstone Coordinator and 2–3 Panelists.</t>
  </si>
  <si>
    <t>Summarize interview notes into a list of "Must-Have" features.</t>
  </si>
  <si>
    <t>Schedule and conduct interviews (focus on "pain points" in the current process).</t>
  </si>
  <si>
    <t>3</t>
  </si>
  <si>
    <t>User Surveys: Conduct surveys with 3rd and 4th-year BSIT/BSEMC students.</t>
  </si>
  <si>
    <t>6</t>
  </si>
  <si>
    <t>SRS (System Requirements Specification)</t>
  </si>
  <si>
    <t>7</t>
  </si>
  <si>
    <t>List all Functional Requirements (e.g., "Student can upload .docx").</t>
  </si>
  <si>
    <t>8</t>
  </si>
  <si>
    <t>List Non-Functional Requirements (e.g., "System must load within 3 seconds").</t>
  </si>
  <si>
    <t>9</t>
  </si>
  <si>
    <t>Get a formal "Ok" or sign-off from your adviser on these requirements.</t>
  </si>
  <si>
    <t>Añedez, Patrick Josh</t>
  </si>
  <si>
    <t>Phase 2: System Design</t>
  </si>
  <si>
    <t>System Architecture</t>
  </si>
  <si>
    <t>Set up the folder structure for the Client (React) and Server (Node/Express).</t>
  </si>
  <si>
    <t>Define the folder path for local file storage or cloud integration.</t>
  </si>
  <si>
    <t>Database Schema Design</t>
  </si>
  <si>
    <t>Create User Schema (Name, Email, Role: Student/Adviser/Coordinator).</t>
  </si>
  <si>
    <t>4</t>
  </si>
  <si>
    <t>Create Project Schema (Title, Abstract, Team Members, Status).</t>
  </si>
  <si>
    <t>Create Submission Schema (File Link, Plagiarism Score, Timestamp, Version #).</t>
  </si>
  <si>
    <t>5</t>
  </si>
  <si>
    <t>UI/UX Design</t>
  </si>
  <si>
    <t>Create a low-fidelity wireframe for the System</t>
  </si>
  <si>
    <t>Canoy, Chijay</t>
  </si>
  <si>
    <t>Design high-fidelity Figma prototypes for Student vs. Coordinator views.</t>
  </si>
  <si>
    <t>Design the "Document Vault" interface (how the archives will look).</t>
  </si>
  <si>
    <t>API Integration Design</t>
  </si>
  <si>
    <t>15</t>
  </si>
  <si>
    <t>Register for a Copyleaks API key and review the webhook documentation.</t>
  </si>
  <si>
    <t>Set up a Google Cloud Console project to get OAuth2 credentials for Google Docs.</t>
  </si>
  <si>
    <t>16</t>
  </si>
  <si>
    <t>Map out the data flow: User Uploads → Google Docs → Copyleaks → Database Update.</t>
  </si>
  <si>
    <t>Technical Architecture &amp; Security</t>
  </si>
  <si>
    <t>Defining the MERN stack flow, including a 17-controller MVC backend and an 8-page React frontend.</t>
  </si>
  <si>
    <t>Designing a secure JWT-based authentication system for four specific roles (Student, Adviser, Panelist, Coordinator).</t>
  </si>
  <si>
    <t>Building a "State Machine" to track capstone progress from topic selection all the way to final archiving.</t>
  </si>
  <si>
    <t>Planning for XSS/CORS protection and a zero-cost deployment strategy using Vercel, Render, and MongoDB Atlas.</t>
  </si>
  <si>
    <t>Database &amp; Data Modeling</t>
  </si>
  <si>
    <t>Core Entity Modeling: Designing schemas for Users (supporting 4 distinct roles), Projects (complex structure including versioning, Google Docs integration, and state machines), Teams (group management), and Topics (marketplace data).</t>
  </si>
  <si>
    <t>Workflow &amp; Operations: Creating schemas to handle Deadlines (phase-specific), Title Change Requests (approval flow), and Notifications (25+ types).</t>
  </si>
  <si>
    <t>Security &amp; Auditing: Implementing PendingRegistration (for OTP/TTL verification) and rigorous logging via WorkflowLogs and AuthLogs.</t>
  </si>
  <si>
    <t>Structural Definition: The phase concludes with the creation of a comprehensive Entity Relationship Diagram (ERD) to map relationships and an Indexing Strategy to ensure query performance.</t>
  </si>
  <si>
    <t>Backend Development</t>
  </si>
  <si>
    <t>Designing 10+ MongoDB collections (Users, Projects, Teams, Topics, Notifications, etc.) to handle complex relationships.</t>
  </si>
  <si>
    <t>Creating an Entity Relationship Diagram (ERD) and defining indexing strategies to ensure the system remains fast as the archive grows.</t>
  </si>
  <si>
    <t>UI/UX &amp; User Experience</t>
  </si>
  <si>
    <t>Component-Driven Design: Establishing a design system using Tailwind CSS and Shadcn UI.</t>
  </si>
  <si>
    <t>Role-Specific Dashboards: Creating detailed Figma wireframes and interactive prototypes for all four user types to ensure the interface meets their specific needs.</t>
  </si>
  <si>
    <t>Stakeholder Validation: Using the prototypes to get early feedback from advisers before writing the first line of frontend code.</t>
  </si>
  <si>
    <t>Integration &amp; Infrastructure Setup</t>
  </si>
  <si>
    <t>API Blueprints: Mapping out 80+ RESTful endpoints and specialized integrations for Google Drive/Docs (for live editing) and Copyleaks (for plagiarism).</t>
  </si>
  <si>
    <t>Environment Readiness: Setting up the GitHub repository, Google Cloud Console, and MongoDB clusters.</t>
  </si>
  <si>
    <t>Proof of Concept (PoC): Running "stress tests" on critical features—like streaming large files to Google Drive within Render’s 512MB RAM limit—to prove the tech works before full-scale development.</t>
  </si>
  <si>
    <t>Academic Documentation</t>
  </si>
  <si>
    <t>Methodology (Chapter 3): Translating these technical plans into a formal manuscript that explains the research design, development methodology (Agile), and evaluation criteria.</t>
  </si>
  <si>
    <t>Phase 3: Development</t>
  </si>
  <si>
    <t>The Backend Engine (MVC Logic)</t>
  </si>
  <si>
    <t>Database &amp; Models: Implementing 10+ Mongoose schemas to handle complex relationships between users, teams, and projects.</t>
  </si>
  <si>
    <t>The Controller Suite: Developing 17+ controllers to manage specific logic, such as the State Machine for project progress, gap analysis for research topics, and automated notifications.</t>
  </si>
  <si>
    <t>Security &amp; Auth: Implementing JWT-based protection, Role-Based Access Control (RBAC), and OTP verification for secure registration.</t>
  </si>
  <si>
    <t>The Frontend Experience (React &amp; Dashboards)</t>
  </si>
  <si>
    <t>State &amp; Theme Management: Setting up global contexts for authentication and dark/light mode.</t>
  </si>
  <si>
    <t>Role-Specific Dashboards: Building four distinct experiences (Student, Adviser, Panelist, and Coordinator) that dynamically show different tools based on the logged-in user.</t>
  </si>
  <si>
    <t>Component Library: Assembling 30+ reusable components using Tailwind CSS and Shadcn UI for a consistent, professional look.</t>
  </si>
  <si>
    <t>External API Ecosystem</t>
  </si>
  <si>
    <t>Google Drive &amp; Docs: Implementing the streaming upload logic (to handle the 512MB RAM limit) and enabling real-time document creation and sharing directly through your app.</t>
  </si>
  <si>
    <t>Communication: Wiring Nodemailer to Gmail SMTP to handle real-time alerts for deadlines and approvals.</t>
  </si>
  <si>
    <t>Plagiarism: Setting up a "plug-and-play" service for future Copyleaks integration.</t>
  </si>
  <si>
    <t>The "Document Vault" &amp; Versioning</t>
  </si>
  <si>
    <t>Versioning: Building the logic to track every version of a chapter submission, including who uploaded it and when.</t>
  </si>
  <si>
    <t>Document Locking: Implementing "pessimistic locking" so that files cannot be edited by multiple people simultaneously, preventing data loss.</t>
  </si>
  <si>
    <t>Archiving: Creating the "Read-Only" logic for final approved manuscripts to ensure they remain official and unalterable.</t>
  </si>
  <si>
    <t>Quality Assurance</t>
  </si>
  <si>
    <t>Performance: Setting up database indexing in MongoDB Atlas to ensure search and filtering remain fast as the repository grows.</t>
  </si>
  <si>
    <t>Documentation: Generating API contracts (Swagger/OpenAPI) and a comprehensive setup guide for future maintainers.</t>
  </si>
  <si>
    <t>Phase 4: Testing</t>
  </si>
  <si>
    <t>Core Technical Testing (Unit &amp; Integration)</t>
  </si>
  <si>
    <t>Jest Framework: Setting up a dedicated testing environment using a MongoDB memory server to test logic without polluting your real database.</t>
  </si>
  <si>
    <t>Model &amp; Controller Validation: Writing tests to ensure every field (like email uniqueness or chapter versioning) and every route (like registration or team locking) behaves exactly as expected.</t>
  </si>
  <si>
    <t>End-to-End Flows: Testing "The Big Three" workflows: Auth (login to logout), Project Lifecycle (proposal to archive), and Team Formation.</t>
  </si>
  <si>
    <t>RBAC Verification: Proving that a Student cannot "accidentally" access Coordinator settings.</t>
  </si>
  <si>
    <t>Functional &amp; Performance Testing</t>
  </si>
  <si>
    <t>Black-Box Testing: Testing features like file uploads and notifications from a user perspective without looking at the code.</t>
  </si>
  <si>
    <t>Bautista, Steven Joe</t>
  </si>
  <si>
    <t>API Mastery: Using Postman to validate all 80+ endpoints, ensuring they return the correct status codes and error messages.</t>
  </si>
  <si>
    <t>Constraint Stress-Testing: Since you're on Render’s free tier (512MB RAM), you'll be testing how the Google Drive streaming handles 25MB files to ensure the server doesn't crash under pressure.</t>
  </si>
  <si>
    <t>Responsiveness: Verifying the dashboard looks as good on a smartphone as it does on a desktop.</t>
  </si>
  <si>
    <t>Plagiarism &amp; Security Guardrails</t>
  </si>
  <si>
    <t>Controlled Corpus: Using a set of "dummy" documents with known plagiarism levels to verify your system correctly processes and displays similarity scores.</t>
  </si>
  <si>
    <t>Attack Simulation: Testing for common vulnerabilities like NoSQL injection, XSS (scripting in comments), and brute-force login attempts.</t>
  </si>
  <si>
    <t>Audit Trail: Ensuring the WorkflowLog captures every single document access or status change for accountability.</t>
  </si>
  <si>
    <t>The Final Stretch (Documentation &amp; Defense)</t>
  </si>
  <si>
    <t>User Manuals: Creating step-by-step guides for Students, Advisers, and Coordinators so they aren't lost on day one.</t>
  </si>
  <si>
    <t>Demo Scripting: Orchestrating a "perfect" walkthrough of the system to show off the most impressive features during the defense.</t>
  </si>
  <si>
    <t>The Defense Cycle: Preparing slides, rehearsing with your adviser, and—most importantly—having a structured way to track and implement the panel's feedback after the big day.</t>
  </si>
  <si>
    <t>Phase 5: EVALUATION &amp; CLOSING</t>
  </si>
  <si>
    <t>User Acceptance Testing (UAT)</t>
  </si>
  <si>
    <t>The 37 Respondents: Selecting a representative mix of 3rd/4th-year BSIT/BSEMC students and faculty.</t>
  </si>
  <si>
    <t>Task-Based Testing: Providing specific scenarios (e.g., "Student: Create a team and upload Chapter 1") to ensure the UI is intuitive and the logic is sound.</t>
  </si>
  <si>
    <t>Defect Logging: Categorizing every "I'm confused" or "This button didn't work" into a severity log to fix critical issues before the final defense.</t>
  </si>
  <si>
    <t>The Framework: Mapping your system to characteristics like Functional Suitability, Performance Efficiency, and Usability.</t>
  </si>
  <si>
    <t>Quantitative Analysis: Using Likert-scale data to calculate weighted means, giving you a scientific "Quality Score."</t>
  </si>
  <si>
    <t>Final Archiving &amp; Handover</t>
  </si>
  <si>
    <t>Ensuring the project lives on after you graduate.</t>
  </si>
  <si>
    <t>The "Vault" Seal: Verifying the "FINAL_APPROVED" workflow, where manuscripts become read-only, permanent artifacts.</t>
  </si>
  <si>
    <t>Knowledge Transfer: Writing the Administrator Guide for the Capstone Coordinator so they can manage the system without you.</t>
  </si>
  <si>
    <t>Infrastructure Handover: Securely transferring the keys to the kingdom—credentials for MongoDB Atlas, Render, Vercel, and Google Cloud—to the department.</t>
  </si>
  <si>
    <t>Manuscript &amp; Final Defense</t>
  </si>
  <si>
    <t>Chapter 4 &amp; 5: Writing the "Results and Discussion" (how it performed) and "Conclusions" (what we learned).</t>
  </si>
  <si>
    <t>BukSU Formatting: Applying the final polish to margins, citations, and front matter to meet the university's strict guidelines.</t>
  </si>
  <si>
    <t>The Big Day: Rehearsing the demo to perfection, anticipating panel questions, and finally securing those signatures on the approval sheet.</t>
  </si>
  <si>
    <t>Prepared by:</t>
  </si>
  <si>
    <t>Noted by:</t>
  </si>
  <si>
    <t>Approved by:</t>
  </si>
  <si>
    <t>GLAIZA MAE A. LIBE</t>
  </si>
  <si>
    <t>Dr. Sales G. Aribe Jr.</t>
  </si>
  <si>
    <t>Researcher</t>
  </si>
  <si>
    <t>Adviser</t>
  </si>
  <si>
    <t>Instructor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</si>
</sst>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mm/dd/yy"/>
    <numFmt numFmtId="167" formatCode="_(* #,##0_);_(* \(#,##0\);_(* &quot;-&quot;??_);_(@_)"/>
  </numFmts>
  <fonts count="14">
    <font>
      <sz val="12.0"/>
      <color theme="1"/>
      <name val="Corbel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sz val="9.0"/>
      <color theme="1"/>
      <name val="Century Gothic"/>
    </font>
    <font>
      <b/>
      <sz val="10.0"/>
      <color theme="1"/>
      <name val="Century Gothic"/>
    </font>
    <font/>
    <font>
      <b/>
      <sz val="10.0"/>
      <color rgb="FF2F5496"/>
      <name val="Century Gothic"/>
    </font>
    <font>
      <b/>
      <sz val="10.0"/>
      <color theme="0"/>
      <name val="Century Gothic"/>
    </font>
    <font>
      <b/>
      <sz val="9.0"/>
      <color theme="1"/>
      <name val="Century Gothic"/>
    </font>
    <font>
      <sz val="7.0"/>
      <color theme="1"/>
      <name val="Century Gothic"/>
    </font>
    <font>
      <color theme="1"/>
      <name val="Corbel"/>
      <scheme val="minor"/>
    </font>
    <font>
      <sz val="12.0"/>
      <color theme="1"/>
      <name val="Corbel"/>
    </font>
    <font>
      <b/>
      <sz val="12.0"/>
      <color theme="1"/>
      <name val="Corbel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5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BFBFBF"/>
      </left>
      <top style="medium">
        <color rgb="FFBFBFBF"/>
      </top>
      <bottom/>
    </border>
    <border>
      <top style="medium">
        <color rgb="FFBFBFBF"/>
      </top>
      <bottom/>
    </border>
    <border>
      <right style="medium">
        <color rgb="FFBFBFBF"/>
      </right>
      <top style="medium">
        <color rgb="FFBFBFBF"/>
      </top>
      <bottom/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right/>
      <top style="medium">
        <color rgb="FFA5A5A5"/>
      </top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4" fillId="0" fontId="6" numFmtId="0" xfId="0" applyBorder="1" applyFont="1"/>
    <xf borderId="5" fillId="0" fontId="6" numFmtId="0" xfId="0" applyBorder="1" applyFont="1"/>
    <xf borderId="1" fillId="4" fontId="1" numFmtId="0" xfId="0" applyAlignment="1" applyBorder="1" applyFont="1">
      <alignment horizontal="left" shrinkToFit="0" vertical="center" wrapText="1"/>
    </xf>
    <xf borderId="6" fillId="4" fontId="5" numFmtId="10" xfId="0" applyAlignment="1" applyBorder="1" applyFont="1" applyNumberFormat="1">
      <alignment horizontal="left" shrinkToFit="0" vertical="center" wrapText="1"/>
    </xf>
    <xf borderId="7" fillId="4" fontId="5" numFmtId="10" xfId="0" applyAlignment="1" applyBorder="1" applyFont="1" applyNumberFormat="1">
      <alignment shrinkToFit="0" vertical="center" wrapText="1"/>
    </xf>
    <xf borderId="8" fillId="4" fontId="5" numFmtId="164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7" numFmtId="0" xfId="0" applyAlignment="1" applyFont="1">
      <alignment horizontal="left" vertical="center"/>
    </xf>
    <xf borderId="9" fillId="5" fontId="8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9" fillId="6" fontId="8" numFmtId="0" xfId="0" applyAlignment="1" applyBorder="1" applyFill="1" applyFont="1">
      <alignment horizontal="center" vertical="center"/>
    </xf>
    <xf borderId="9" fillId="7" fontId="8" numFmtId="0" xfId="0" applyAlignment="1" applyBorder="1" applyFill="1" applyFont="1">
      <alignment horizontal="center" vertical="center"/>
    </xf>
    <xf borderId="9" fillId="8" fontId="8" numFmtId="0" xfId="0" applyAlignment="1" applyBorder="1" applyFill="1" applyFont="1">
      <alignment horizontal="center" vertical="center"/>
    </xf>
    <xf borderId="0" fillId="8" fontId="8" numFmtId="0" xfId="0" applyAlignment="1" applyFont="1">
      <alignment horizontal="center" vertical="center"/>
    </xf>
    <xf borderId="12" fillId="9" fontId="9" numFmtId="0" xfId="0" applyAlignment="1" applyBorder="1" applyFill="1" applyFont="1">
      <alignment horizontal="left" shrinkToFit="0" wrapText="1"/>
    </xf>
    <xf borderId="13" fillId="9" fontId="9" numFmtId="0" xfId="0" applyAlignment="1" applyBorder="1" applyFont="1">
      <alignment horizontal="left" shrinkToFit="0" wrapText="1"/>
    </xf>
    <xf borderId="14" fillId="9" fontId="9" numFmtId="0" xfId="0" applyAlignment="1" applyBorder="1" applyFont="1">
      <alignment horizontal="center" shrinkToFit="0" wrapText="1"/>
    </xf>
    <xf borderId="15" fillId="9" fontId="9" numFmtId="0" xfId="0" applyAlignment="1" applyBorder="1" applyFont="1">
      <alignment horizontal="center" shrinkToFit="0" wrapText="1"/>
    </xf>
    <xf borderId="13" fillId="9" fontId="9" numFmtId="0" xfId="0" applyAlignment="1" applyBorder="1" applyFont="1">
      <alignment horizontal="center" shrinkToFit="0" wrapText="1"/>
    </xf>
    <xf borderId="16" fillId="9" fontId="9" numFmtId="0" xfId="0" applyAlignment="1" applyBorder="1" applyFont="1">
      <alignment horizontal="center" shrinkToFit="0" wrapText="1"/>
    </xf>
    <xf borderId="17" fillId="9" fontId="9" numFmtId="0" xfId="0" applyAlignment="1" applyBorder="1" applyFont="1">
      <alignment horizontal="center" shrinkToFit="0" wrapText="1"/>
    </xf>
    <xf borderId="18" fillId="10" fontId="8" numFmtId="0" xfId="0" applyAlignment="1" applyBorder="1" applyFill="1" applyFont="1">
      <alignment horizontal="center" vertical="center"/>
    </xf>
    <xf borderId="19" fillId="0" fontId="6" numFmtId="0" xfId="0" applyBorder="1" applyFont="1"/>
    <xf borderId="20" fillId="0" fontId="6" numFmtId="0" xfId="0" applyBorder="1" applyFont="1"/>
    <xf borderId="21" fillId="10" fontId="8" numFmtId="0" xfId="0" applyAlignment="1" applyBorder="1" applyFont="1">
      <alignment horizontal="center" vertical="center"/>
    </xf>
    <xf borderId="22" fillId="0" fontId="6" numFmtId="0" xfId="0" applyBorder="1" applyFont="1"/>
    <xf borderId="23" fillId="11" fontId="8" numFmtId="0" xfId="0" applyAlignment="1" applyBorder="1" applyFill="1" applyFont="1">
      <alignment horizontal="center" vertical="center"/>
    </xf>
    <xf borderId="21" fillId="11" fontId="8" numFmtId="0" xfId="0" applyAlignment="1" applyBorder="1" applyFont="1">
      <alignment horizontal="center" vertical="center"/>
    </xf>
    <xf borderId="23" fillId="12" fontId="8" numFmtId="0" xfId="0" applyAlignment="1" applyBorder="1" applyFill="1" applyFont="1">
      <alignment horizontal="center" vertical="center"/>
    </xf>
    <xf borderId="21" fillId="12" fontId="8" numFmtId="0" xfId="0" applyAlignment="1" applyBorder="1" applyFont="1">
      <alignment horizontal="center" vertical="center"/>
    </xf>
    <xf borderId="23" fillId="13" fontId="8" numFmtId="0" xfId="0" applyAlignment="1" applyBorder="1" applyFill="1" applyFont="1">
      <alignment horizontal="center" vertical="center"/>
    </xf>
    <xf borderId="21" fillId="13" fontId="8" numFmtId="0" xfId="0" applyAlignment="1" applyBorder="1" applyFont="1">
      <alignment horizontal="center" vertical="center"/>
    </xf>
    <xf borderId="24" fillId="0" fontId="6" numFmtId="0" xfId="0" applyBorder="1" applyFont="1"/>
    <xf borderId="0" fillId="13" fontId="8" numFmtId="0" xfId="0" applyAlignment="1" applyFont="1">
      <alignment horizontal="center" vertical="center"/>
    </xf>
    <xf borderId="25" fillId="9" fontId="9" numFmtId="0" xfId="0" applyAlignment="1" applyBorder="1" applyFont="1">
      <alignment horizontal="left" shrinkToFit="0" vertical="top" wrapText="1"/>
    </xf>
    <xf borderId="26" fillId="9" fontId="9" numFmtId="0" xfId="0" applyAlignment="1" applyBorder="1" applyFont="1">
      <alignment horizontal="left" shrinkToFit="0" vertical="top" wrapText="1"/>
    </xf>
    <xf borderId="27" fillId="9" fontId="9" numFmtId="0" xfId="0" applyAlignment="1" applyBorder="1" applyFont="1">
      <alignment horizontal="center" shrinkToFit="0" vertical="top" wrapText="1"/>
    </xf>
    <xf borderId="28" fillId="9" fontId="9" numFmtId="0" xfId="0" applyAlignment="1" applyBorder="1" applyFont="1">
      <alignment horizontal="center" shrinkToFit="0" vertical="top" wrapText="1"/>
    </xf>
    <xf borderId="26" fillId="9" fontId="9" numFmtId="0" xfId="0" applyAlignment="1" applyBorder="1" applyFont="1">
      <alignment horizontal="center" shrinkToFit="0" vertical="top" wrapText="1"/>
    </xf>
    <xf borderId="29" fillId="9" fontId="9" numFmtId="0" xfId="0" applyAlignment="1" applyBorder="1" applyFont="1">
      <alignment horizontal="center" shrinkToFit="0" vertical="top" wrapText="1"/>
    </xf>
    <xf borderId="1" fillId="9" fontId="9" numFmtId="0" xfId="0" applyAlignment="1" applyBorder="1" applyFont="1">
      <alignment horizontal="center" shrinkToFit="0" vertical="top" wrapText="1"/>
    </xf>
    <xf borderId="30" fillId="14" fontId="5" numFmtId="0" xfId="0" applyAlignment="1" applyBorder="1" applyFill="1" applyFont="1">
      <alignment horizontal="center" vertical="center"/>
    </xf>
    <xf borderId="31" fillId="14" fontId="5" numFmtId="0" xfId="0" applyAlignment="1" applyBorder="1" applyFont="1">
      <alignment horizontal="center" vertical="center"/>
    </xf>
    <xf borderId="32" fillId="14" fontId="5" numFmtId="0" xfId="0" applyAlignment="1" applyBorder="1" applyFont="1">
      <alignment horizontal="center" vertical="center"/>
    </xf>
    <xf borderId="33" fillId="15" fontId="5" numFmtId="0" xfId="0" applyAlignment="1" applyBorder="1" applyFill="1" applyFont="1">
      <alignment horizontal="center" vertical="center"/>
    </xf>
    <xf borderId="31" fillId="15" fontId="5" numFmtId="0" xfId="0" applyAlignment="1" applyBorder="1" applyFont="1">
      <alignment horizontal="center" vertical="center"/>
    </xf>
    <xf borderId="32" fillId="15" fontId="5" numFmtId="0" xfId="0" applyAlignment="1" applyBorder="1" applyFont="1">
      <alignment horizontal="center" vertical="center"/>
    </xf>
    <xf borderId="33" fillId="16" fontId="5" numFmtId="0" xfId="0" applyAlignment="1" applyBorder="1" applyFill="1" applyFont="1">
      <alignment horizontal="center" vertical="center"/>
    </xf>
    <xf borderId="31" fillId="16" fontId="5" numFmtId="0" xfId="0" applyAlignment="1" applyBorder="1" applyFont="1">
      <alignment horizontal="center" vertical="center"/>
    </xf>
    <xf borderId="32" fillId="16" fontId="5" numFmtId="0" xfId="0" applyAlignment="1" applyBorder="1" applyFont="1">
      <alignment horizontal="center" vertical="center"/>
    </xf>
    <xf borderId="33" fillId="17" fontId="5" numFmtId="0" xfId="0" applyAlignment="1" applyBorder="1" applyFill="1" applyFont="1">
      <alignment horizontal="center" vertical="center"/>
    </xf>
    <xf borderId="31" fillId="17" fontId="5" numFmtId="0" xfId="0" applyAlignment="1" applyBorder="1" applyFont="1">
      <alignment horizontal="center" vertical="center"/>
    </xf>
    <xf borderId="34" fillId="17" fontId="5" numFmtId="0" xfId="0" applyAlignment="1" applyBorder="1" applyFont="1">
      <alignment horizontal="center" vertical="center"/>
    </xf>
    <xf borderId="0" fillId="17" fontId="5" numFmtId="0" xfId="0" applyAlignment="1" applyFont="1">
      <alignment horizontal="center" vertical="center"/>
    </xf>
    <xf borderId="35" fillId="4" fontId="1" numFmtId="49" xfId="0" applyAlignment="1" applyBorder="1" applyFont="1" applyNumberFormat="1">
      <alignment horizontal="left" vertical="center"/>
    </xf>
    <xf borderId="36" fillId="18" fontId="5" numFmtId="0" xfId="0" applyAlignment="1" applyBorder="1" applyFill="1" applyFont="1">
      <alignment horizontal="left" vertical="center"/>
    </xf>
    <xf borderId="37" fillId="9" fontId="1" numFmtId="0" xfId="0" applyAlignment="1" applyBorder="1" applyFont="1">
      <alignment horizontal="left" vertical="center"/>
    </xf>
    <xf borderId="38" fillId="9" fontId="1" numFmtId="165" xfId="0" applyAlignment="1" applyBorder="1" applyFont="1" applyNumberFormat="1">
      <alignment horizontal="center" vertical="center"/>
    </xf>
    <xf borderId="39" fillId="9" fontId="1" numFmtId="165" xfId="0" applyAlignment="1" applyBorder="1" applyFont="1" applyNumberFormat="1">
      <alignment horizontal="center" vertical="center"/>
    </xf>
    <xf borderId="37" fillId="9" fontId="1" numFmtId="1" xfId="0" applyAlignment="1" applyBorder="1" applyFont="1" applyNumberFormat="1">
      <alignment horizontal="center" vertical="center"/>
    </xf>
    <xf borderId="40" fillId="9" fontId="5" numFmtId="9" xfId="0" applyAlignment="1" applyBorder="1" applyFont="1" applyNumberFormat="1">
      <alignment horizontal="center" vertical="center"/>
    </xf>
    <xf borderId="41" fillId="9" fontId="5" numFmtId="9" xfId="0" applyAlignment="1" applyBorder="1" applyFont="1" applyNumberFormat="1">
      <alignment horizontal="center" vertical="center"/>
    </xf>
    <xf borderId="42" fillId="9" fontId="1" numFmtId="0" xfId="0" applyBorder="1" applyFont="1"/>
    <xf borderId="43" fillId="9" fontId="1" numFmtId="0" xfId="0" applyBorder="1" applyFont="1"/>
    <xf borderId="43" fillId="9" fontId="4" numFmtId="0" xfId="0" applyBorder="1" applyFont="1"/>
    <xf borderId="44" fillId="9" fontId="4" numFmtId="0" xfId="0" applyBorder="1" applyFont="1"/>
    <xf borderId="45" fillId="9" fontId="4" numFmtId="0" xfId="0" applyBorder="1" applyFont="1"/>
    <xf borderId="43" fillId="9" fontId="10" numFmtId="0" xfId="0" applyBorder="1" applyFont="1"/>
    <xf borderId="44" fillId="9" fontId="1" numFmtId="0" xfId="0" applyBorder="1" applyFont="1"/>
    <xf borderId="45" fillId="9" fontId="1" numFmtId="0" xfId="0" applyBorder="1" applyFont="1"/>
    <xf borderId="46" fillId="9" fontId="1" numFmtId="0" xfId="0" applyBorder="1" applyFont="1"/>
    <xf borderId="0" fillId="9" fontId="1" numFmtId="0" xfId="0" applyFont="1"/>
    <xf borderId="47" fillId="4" fontId="1" numFmtId="49" xfId="0" applyAlignment="1" applyBorder="1" applyFont="1" applyNumberFormat="1">
      <alignment horizontal="center" vertical="center"/>
    </xf>
    <xf borderId="45" fillId="18" fontId="1" numFmtId="0" xfId="0" applyAlignment="1" applyBorder="1" applyFont="1">
      <alignment horizontal="left" vertical="center"/>
    </xf>
    <xf borderId="43" fillId="18" fontId="1" numFmtId="0" xfId="0" applyAlignment="1" applyBorder="1" applyFont="1">
      <alignment horizontal="left" vertical="center"/>
    </xf>
    <xf borderId="48" fillId="18" fontId="1" numFmtId="166" xfId="0" applyAlignment="1" applyBorder="1" applyFont="1" applyNumberFormat="1">
      <alignment horizontal="center" vertical="center"/>
    </xf>
    <xf borderId="42" fillId="18" fontId="1" numFmtId="166" xfId="0" applyAlignment="1" applyBorder="1" applyFont="1" applyNumberFormat="1">
      <alignment horizontal="center" vertical="center"/>
    </xf>
    <xf borderId="43" fillId="18" fontId="1" numFmtId="1" xfId="0" applyAlignment="1" applyBorder="1" applyFont="1" applyNumberFormat="1">
      <alignment horizontal="center" vertical="center"/>
    </xf>
    <xf borderId="46" fillId="18" fontId="5" numFmtId="9" xfId="0" applyAlignment="1" applyBorder="1" applyFont="1" applyNumberFormat="1">
      <alignment horizontal="center" vertical="center"/>
    </xf>
    <xf borderId="49" fillId="18" fontId="5" numFmtId="167" xfId="0" applyAlignment="1" applyBorder="1" applyFont="1" applyNumberFormat="1">
      <alignment horizontal="center" vertical="center"/>
    </xf>
    <xf borderId="50" fillId="18" fontId="1" numFmtId="0" xfId="0" applyBorder="1" applyFont="1"/>
    <xf borderId="43" fillId="18" fontId="1" numFmtId="0" xfId="0" applyBorder="1" applyFont="1"/>
    <xf borderId="44" fillId="18" fontId="1" numFmtId="0" xfId="0" applyBorder="1" applyFont="1"/>
    <xf borderId="45" fillId="18" fontId="1" numFmtId="0" xfId="0" applyBorder="1" applyFont="1"/>
    <xf borderId="46" fillId="18" fontId="1" numFmtId="0" xfId="0" applyBorder="1" applyFont="1"/>
    <xf borderId="0" fillId="18" fontId="1" numFmtId="0" xfId="0" applyFont="1"/>
    <xf borderId="45" fillId="0" fontId="1" numFmtId="0" xfId="0" applyAlignment="1" applyBorder="1" applyFont="1">
      <alignment horizontal="left" readingOrder="0" vertical="center"/>
    </xf>
    <xf borderId="48" fillId="0" fontId="1" numFmtId="166" xfId="0" applyAlignment="1" applyBorder="1" applyFont="1" applyNumberFormat="1">
      <alignment horizontal="center" vertical="center"/>
    </xf>
    <xf borderId="51" fillId="3" fontId="1" numFmtId="166" xfId="0" applyAlignment="1" applyBorder="1" applyFont="1" applyNumberFormat="1">
      <alignment horizontal="center" vertical="center"/>
    </xf>
    <xf borderId="43" fillId="4" fontId="1" numFmtId="1" xfId="0" applyAlignment="1" applyBorder="1" applyFont="1" applyNumberFormat="1">
      <alignment horizontal="center" vertical="center"/>
    </xf>
    <xf borderId="46" fillId="0" fontId="5" numFmtId="9" xfId="0" applyAlignment="1" applyBorder="1" applyFont="1" applyNumberFormat="1">
      <alignment horizontal="center" readingOrder="0" vertical="center"/>
    </xf>
    <xf borderId="49" fillId="0" fontId="5" numFmtId="167" xfId="0" applyAlignment="1" applyBorder="1" applyFont="1" applyNumberFormat="1">
      <alignment horizontal="center" vertical="center"/>
    </xf>
    <xf borderId="50" fillId="0" fontId="1" numFmtId="0" xfId="0" applyBorder="1" applyFont="1"/>
    <xf borderId="43" fillId="0" fontId="1" numFmtId="0" xfId="0" applyBorder="1" applyFont="1"/>
    <xf borderId="43" fillId="3" fontId="1" numFmtId="0" xfId="0" applyBorder="1" applyFont="1"/>
    <xf borderId="44" fillId="0" fontId="1" numFmtId="0" xfId="0" applyBorder="1" applyFont="1"/>
    <xf borderId="45" fillId="0" fontId="1" numFmtId="0" xfId="0" applyBorder="1" applyFont="1"/>
    <xf borderId="43" fillId="19" fontId="1" numFmtId="0" xfId="0" applyBorder="1" applyFill="1" applyFont="1"/>
    <xf borderId="43" fillId="4" fontId="1" numFmtId="0" xfId="0" applyBorder="1" applyFont="1"/>
    <xf borderId="43" fillId="20" fontId="1" numFmtId="0" xfId="0" applyBorder="1" applyFill="1" applyFont="1"/>
    <xf borderId="46" fillId="0" fontId="1" numFmtId="0" xfId="0" applyBorder="1" applyFont="1"/>
    <xf borderId="52" fillId="0" fontId="1" numFmtId="166" xfId="0" applyAlignment="1" applyBorder="1" applyFont="1" applyNumberFormat="1">
      <alignment horizontal="center" vertical="center"/>
    </xf>
    <xf borderId="0" fillId="21" fontId="11" numFmtId="0" xfId="0" applyFill="1" applyFont="1"/>
    <xf borderId="47" fillId="21" fontId="1" numFmtId="49" xfId="0" applyAlignment="1" applyBorder="1" applyFont="1" applyNumberFormat="1">
      <alignment horizontal="center" vertical="center"/>
    </xf>
    <xf borderId="45" fillId="21" fontId="1" numFmtId="0" xfId="0" applyAlignment="1" applyBorder="1" applyFont="1">
      <alignment horizontal="left" readingOrder="0" vertical="center"/>
    </xf>
    <xf borderId="0" fillId="21" fontId="1" numFmtId="0" xfId="0" applyFont="1"/>
    <xf borderId="52" fillId="21" fontId="1" numFmtId="166" xfId="0" applyAlignment="1" applyBorder="1" applyFont="1" applyNumberFormat="1">
      <alignment horizontal="center" vertical="center"/>
    </xf>
    <xf borderId="51" fillId="21" fontId="1" numFmtId="166" xfId="0" applyAlignment="1" applyBorder="1" applyFont="1" applyNumberFormat="1">
      <alignment horizontal="center" vertical="center"/>
    </xf>
    <xf borderId="43" fillId="21" fontId="1" numFmtId="1" xfId="0" applyAlignment="1" applyBorder="1" applyFont="1" applyNumberFormat="1">
      <alignment horizontal="center" vertical="center"/>
    </xf>
    <xf borderId="46" fillId="21" fontId="5" numFmtId="9" xfId="0" applyAlignment="1" applyBorder="1" applyFont="1" applyNumberFormat="1">
      <alignment horizontal="center" readingOrder="0" vertical="center"/>
    </xf>
    <xf borderId="49" fillId="21" fontId="5" numFmtId="167" xfId="0" applyAlignment="1" applyBorder="1" applyFont="1" applyNumberFormat="1">
      <alignment horizontal="center" vertical="center"/>
    </xf>
    <xf borderId="50" fillId="21" fontId="1" numFmtId="0" xfId="0" applyBorder="1" applyFont="1"/>
    <xf borderId="43" fillId="21" fontId="1" numFmtId="0" xfId="0" applyBorder="1" applyFont="1"/>
    <xf borderId="44" fillId="21" fontId="1" numFmtId="0" xfId="0" applyBorder="1" applyFont="1"/>
    <xf borderId="45" fillId="21" fontId="1" numFmtId="0" xfId="0" applyBorder="1" applyFont="1"/>
    <xf borderId="46" fillId="21" fontId="1" numFmtId="0" xfId="0" applyBorder="1" applyFont="1"/>
    <xf borderId="0" fillId="22" fontId="11" numFmtId="0" xfId="0" applyFill="1" applyFont="1"/>
    <xf borderId="47" fillId="22" fontId="1" numFmtId="49" xfId="0" applyAlignment="1" applyBorder="1" applyFont="1" applyNumberFormat="1">
      <alignment horizontal="center" vertical="center"/>
    </xf>
    <xf borderId="45" fillId="22" fontId="1" numFmtId="0" xfId="0" applyAlignment="1" applyBorder="1" applyFont="1">
      <alignment horizontal="left" readingOrder="0" vertical="center"/>
    </xf>
    <xf borderId="0" fillId="22" fontId="1" numFmtId="0" xfId="0" applyFont="1"/>
    <xf borderId="52" fillId="22" fontId="1" numFmtId="166" xfId="0" applyAlignment="1" applyBorder="1" applyFont="1" applyNumberFormat="1">
      <alignment horizontal="center" vertical="center"/>
    </xf>
    <xf borderId="51" fillId="22" fontId="1" numFmtId="166" xfId="0" applyAlignment="1" applyBorder="1" applyFont="1" applyNumberFormat="1">
      <alignment horizontal="center" vertical="center"/>
    </xf>
    <xf borderId="43" fillId="22" fontId="1" numFmtId="1" xfId="0" applyAlignment="1" applyBorder="1" applyFont="1" applyNumberFormat="1">
      <alignment horizontal="center" vertical="center"/>
    </xf>
    <xf borderId="46" fillId="22" fontId="5" numFmtId="9" xfId="0" applyAlignment="1" applyBorder="1" applyFont="1" applyNumberFormat="1">
      <alignment horizontal="center" readingOrder="0" vertical="center"/>
    </xf>
    <xf borderId="49" fillId="22" fontId="5" numFmtId="167" xfId="0" applyAlignment="1" applyBorder="1" applyFont="1" applyNumberFormat="1">
      <alignment horizontal="center" vertical="center"/>
    </xf>
    <xf borderId="50" fillId="22" fontId="1" numFmtId="0" xfId="0" applyBorder="1" applyFont="1"/>
    <xf borderId="43" fillId="22" fontId="1" numFmtId="0" xfId="0" applyBorder="1" applyFont="1"/>
    <xf borderId="44" fillId="22" fontId="1" numFmtId="0" xfId="0" applyBorder="1" applyFont="1"/>
    <xf borderId="45" fillId="22" fontId="1" numFmtId="0" xfId="0" applyBorder="1" applyFont="1"/>
    <xf borderId="46" fillId="22" fontId="1" numFmtId="0" xfId="0" applyBorder="1" applyFont="1"/>
    <xf borderId="45" fillId="18" fontId="1" numFmtId="0" xfId="0" applyAlignment="1" applyBorder="1" applyFont="1">
      <alignment horizontal="left" readingOrder="0" vertical="center"/>
    </xf>
    <xf borderId="0" fillId="23" fontId="11" numFmtId="0" xfId="0" applyFill="1" applyFont="1"/>
    <xf borderId="47" fillId="23" fontId="1" numFmtId="49" xfId="0" applyAlignment="1" applyBorder="1" applyFont="1" applyNumberFormat="1">
      <alignment horizontal="center" vertical="center"/>
    </xf>
    <xf borderId="45" fillId="23" fontId="1" numFmtId="0" xfId="0" applyAlignment="1" applyBorder="1" applyFont="1">
      <alignment horizontal="left" readingOrder="0" vertical="center"/>
    </xf>
    <xf borderId="0" fillId="23" fontId="1" numFmtId="0" xfId="0" applyFont="1"/>
    <xf borderId="48" fillId="23" fontId="1" numFmtId="166" xfId="0" applyAlignment="1" applyBorder="1" applyFont="1" applyNumberFormat="1">
      <alignment horizontal="center" vertical="center"/>
    </xf>
    <xf borderId="51" fillId="23" fontId="1" numFmtId="166" xfId="0" applyAlignment="1" applyBorder="1" applyFont="1" applyNumberFormat="1">
      <alignment horizontal="center" vertical="center"/>
    </xf>
    <xf borderId="43" fillId="23" fontId="1" numFmtId="1" xfId="0" applyAlignment="1" applyBorder="1" applyFont="1" applyNumberFormat="1">
      <alignment horizontal="center" vertical="center"/>
    </xf>
    <xf borderId="46" fillId="23" fontId="5" numFmtId="9" xfId="0" applyAlignment="1" applyBorder="1" applyFont="1" applyNumberFormat="1">
      <alignment horizontal="center" readingOrder="0" vertical="center"/>
    </xf>
    <xf borderId="49" fillId="23" fontId="5" numFmtId="167" xfId="0" applyAlignment="1" applyBorder="1" applyFont="1" applyNumberFormat="1">
      <alignment horizontal="center" vertical="center"/>
    </xf>
    <xf borderId="50" fillId="23" fontId="1" numFmtId="0" xfId="0" applyBorder="1" applyFont="1"/>
    <xf borderId="43" fillId="23" fontId="1" numFmtId="0" xfId="0" applyBorder="1" applyFont="1"/>
    <xf borderId="44" fillId="23" fontId="1" numFmtId="0" xfId="0" applyBorder="1" applyFont="1"/>
    <xf borderId="45" fillId="23" fontId="1" numFmtId="0" xfId="0" applyBorder="1" applyFont="1"/>
    <xf borderId="46" fillId="23" fontId="1" numFmtId="0" xfId="0" applyBorder="1" applyFont="1"/>
    <xf borderId="43" fillId="22" fontId="1" numFmtId="0" xfId="0" applyAlignment="1" applyBorder="1" applyFont="1">
      <alignment horizontal="left" vertical="center"/>
    </xf>
    <xf borderId="48" fillId="22" fontId="1" numFmtId="166" xfId="0" applyAlignment="1" applyBorder="1" applyFont="1" applyNumberFormat="1">
      <alignment horizontal="center" vertical="center"/>
    </xf>
    <xf borderId="45" fillId="18" fontId="5" numFmtId="0" xfId="0" applyAlignment="1" applyBorder="1" applyFont="1">
      <alignment horizontal="left" readingOrder="0" vertical="center"/>
    </xf>
    <xf borderId="50" fillId="18" fontId="12" numFmtId="0" xfId="0" applyBorder="1" applyFont="1"/>
    <xf borderId="52" fillId="18" fontId="12" numFmtId="166" xfId="0" applyBorder="1" applyFont="1" applyNumberFormat="1"/>
    <xf borderId="51" fillId="18" fontId="1" numFmtId="166" xfId="0" applyAlignment="1" applyBorder="1" applyFont="1" applyNumberFormat="1">
      <alignment horizontal="center" vertical="center"/>
    </xf>
    <xf borderId="50" fillId="18" fontId="12" numFmtId="166" xfId="0" applyBorder="1" applyFont="1" applyNumberFormat="1"/>
    <xf borderId="49" fillId="18" fontId="12" numFmtId="9" xfId="0" applyBorder="1" applyFont="1" applyNumberFormat="1"/>
    <xf borderId="43" fillId="18" fontId="12" numFmtId="0" xfId="0" applyAlignment="1" applyBorder="1" applyFont="1">
      <alignment vertical="bottom"/>
    </xf>
    <xf borderId="45" fillId="23" fontId="1" numFmtId="0" xfId="0" applyAlignment="1" applyBorder="1" applyFont="1">
      <alignment horizontal="left" vertical="center"/>
    </xf>
    <xf borderId="48" fillId="23" fontId="1" numFmtId="166" xfId="0" applyAlignment="1" applyBorder="1" applyFont="1" applyNumberFormat="1">
      <alignment horizontal="center" readingOrder="0" vertical="center"/>
    </xf>
    <xf borderId="49" fillId="23" fontId="12" numFmtId="9" xfId="0" applyBorder="1" applyFont="1" applyNumberFormat="1"/>
    <xf borderId="43" fillId="23" fontId="12" numFmtId="0" xfId="0" applyAlignment="1" applyBorder="1" applyFont="1">
      <alignment vertical="bottom"/>
    </xf>
    <xf borderId="52" fillId="23" fontId="12" numFmtId="0" xfId="0" applyAlignment="1" applyBorder="1" applyFont="1">
      <alignment vertical="bottom"/>
    </xf>
    <xf borderId="0" fillId="23" fontId="12" numFmtId="0" xfId="0" applyAlignment="1" applyFont="1">
      <alignment vertical="bottom"/>
    </xf>
    <xf borderId="49" fillId="23" fontId="12" numFmtId="0" xfId="0" applyAlignment="1" applyBorder="1" applyFont="1">
      <alignment vertical="bottom"/>
    </xf>
    <xf borderId="50" fillId="23" fontId="12" numFmtId="0" xfId="0" applyAlignment="1" applyBorder="1" applyFont="1">
      <alignment vertical="bottom"/>
    </xf>
    <xf borderId="45" fillId="0" fontId="1" numFmtId="0" xfId="0" applyAlignment="1" applyBorder="1" applyFont="1">
      <alignment horizontal="left" vertical="center"/>
    </xf>
    <xf borderId="52" fillId="0" fontId="12" numFmtId="166" xfId="0" applyBorder="1" applyFont="1" applyNumberFormat="1"/>
    <xf borderId="49" fillId="0" fontId="12" numFmtId="9" xfId="0" applyBorder="1" applyFont="1" applyNumberFormat="1"/>
    <xf borderId="43" fillId="0" fontId="12" numFmtId="0" xfId="0" applyAlignment="1" applyBorder="1" applyFont="1">
      <alignment vertical="bottom"/>
    </xf>
    <xf borderId="43" fillId="3" fontId="12" numFmtId="0" xfId="0" applyAlignment="1" applyBorder="1" applyFont="1">
      <alignment vertical="bottom"/>
    </xf>
    <xf borderId="43" fillId="19" fontId="12" numFmtId="0" xfId="0" applyAlignment="1" applyBorder="1" applyFont="1">
      <alignment vertical="bottom"/>
    </xf>
    <xf borderId="43" fillId="4" fontId="12" numFmtId="0" xfId="0" applyAlignment="1" applyBorder="1" applyFont="1">
      <alignment vertical="bottom"/>
    </xf>
    <xf borderId="43" fillId="20" fontId="12" numFmtId="0" xfId="0" applyAlignment="1" applyBorder="1" applyFont="1">
      <alignment vertical="bottom"/>
    </xf>
    <xf borderId="52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43" fillId="0" fontId="12" numFmtId="166" xfId="0" applyBorder="1" applyFont="1" applyNumberFormat="1"/>
    <xf borderId="46" fillId="0" fontId="12" numFmtId="9" xfId="0" applyBorder="1" applyFont="1" applyNumberFormat="1"/>
    <xf borderId="46" fillId="0" fontId="12" numFmtId="0" xfId="0" applyAlignment="1" applyBorder="1" applyFont="1">
      <alignment vertical="bottom"/>
    </xf>
    <xf borderId="0" fillId="4" fontId="1" numFmtId="49" xfId="0" applyAlignment="1" applyFont="1" applyNumberFormat="1">
      <alignment horizontal="center" vertical="center"/>
    </xf>
    <xf borderId="42" fillId="22" fontId="1" numFmtId="166" xfId="0" applyAlignment="1" applyBorder="1" applyFont="1" applyNumberFormat="1">
      <alignment horizontal="center" vertical="center"/>
    </xf>
    <xf borderId="42" fillId="22" fontId="1" numFmtId="0" xfId="0" applyBorder="1" applyFont="1"/>
    <xf borderId="45" fillId="21" fontId="1" numFmtId="0" xfId="0" applyAlignment="1" applyBorder="1" applyFont="1">
      <alignment horizontal="left" vertical="center"/>
    </xf>
    <xf borderId="48" fillId="21" fontId="1" numFmtId="166" xfId="0" applyAlignment="1" applyBorder="1" applyFont="1" applyNumberFormat="1">
      <alignment horizontal="center" vertical="center"/>
    </xf>
    <xf borderId="45" fillId="22" fontId="1" numFmtId="0" xfId="0" applyAlignment="1" applyBorder="1" applyFont="1">
      <alignment horizontal="left" vertical="center"/>
    </xf>
    <xf borderId="47" fillId="4" fontId="1" numFmtId="49" xfId="0" applyAlignment="1" applyBorder="1" applyFont="1" applyNumberFormat="1">
      <alignment horizontal="left" vertical="center"/>
    </xf>
    <xf borderId="43" fillId="9" fontId="1" numFmtId="0" xfId="0" applyAlignment="1" applyBorder="1" applyFont="1">
      <alignment horizontal="left" vertical="center"/>
    </xf>
    <xf borderId="48" fillId="9" fontId="1" numFmtId="166" xfId="0" applyAlignment="1" applyBorder="1" applyFont="1" applyNumberFormat="1">
      <alignment horizontal="center" vertical="center"/>
    </xf>
    <xf borderId="42" fillId="9" fontId="1" numFmtId="166" xfId="0" applyAlignment="1" applyBorder="1" applyFont="1" applyNumberFormat="1">
      <alignment horizontal="center" vertical="center"/>
    </xf>
    <xf borderId="43" fillId="9" fontId="1" numFmtId="1" xfId="0" applyAlignment="1" applyBorder="1" applyFont="1" applyNumberFormat="1">
      <alignment horizontal="center" vertical="center"/>
    </xf>
    <xf borderId="46" fillId="9" fontId="5" numFmtId="9" xfId="0" applyAlignment="1" applyBorder="1" applyFont="1" applyNumberFormat="1">
      <alignment horizontal="center" vertical="center"/>
    </xf>
    <xf borderId="45" fillId="18" fontId="1" numFmtId="0" xfId="0" applyAlignment="1" applyBorder="1" applyFont="1">
      <alignment horizontal="left" readingOrder="0" vertical="center"/>
    </xf>
    <xf borderId="50" fillId="3" fontId="1" numFmtId="166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12" numFmtId="10" xfId="0" applyFont="1" applyNumberForma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6.0"/>
    <col customWidth="1" min="3" max="3" width="87.22"/>
    <col customWidth="1" min="4" max="4" width="19.78"/>
    <col customWidth="1" min="5" max="7" width="9.78"/>
    <col customWidth="1" min="8" max="8" width="14.44"/>
    <col customWidth="1" hidden="1" min="9" max="9" width="7.11"/>
    <col customWidth="1" min="10" max="70" width="3.33"/>
  </cols>
  <sheetData>
    <row r="1" ht="49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34.5" customHeight="1">
      <c r="A2" s="4"/>
      <c r="B2" s="5" t="s">
        <v>1</v>
      </c>
      <c r="C2" s="6" t="s">
        <v>2</v>
      </c>
      <c r="D2" s="7"/>
      <c r="E2" s="7"/>
      <c r="F2" s="7"/>
      <c r="G2" s="7"/>
      <c r="H2" s="8"/>
      <c r="I2" s="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ht="34.5" customHeight="1">
      <c r="A3" s="4"/>
      <c r="B3" s="5" t="s">
        <v>3</v>
      </c>
      <c r="C3" s="6" t="s">
        <v>4</v>
      </c>
      <c r="D3" s="7"/>
      <c r="E3" s="7"/>
      <c r="F3" s="7"/>
      <c r="G3" s="7"/>
      <c r="H3" s="8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ht="34.5" customHeight="1">
      <c r="A4" s="4"/>
      <c r="B4" s="5" t="s">
        <v>5</v>
      </c>
      <c r="C4" s="6" t="s">
        <v>6</v>
      </c>
      <c r="D4" s="7"/>
      <c r="E4" s="7"/>
      <c r="F4" s="7"/>
      <c r="G4" s="7"/>
      <c r="H4" s="8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ht="34.5" customHeight="1">
      <c r="A5" s="4"/>
      <c r="B5" s="5" t="s">
        <v>7</v>
      </c>
      <c r="C5" s="6" t="s">
        <v>8</v>
      </c>
      <c r="D5" s="7"/>
      <c r="E5" s="7"/>
      <c r="F5" s="7"/>
      <c r="G5" s="7"/>
      <c r="H5" s="8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ht="34.5" customHeight="1">
      <c r="A6" s="4"/>
      <c r="B6" s="5" t="s">
        <v>9</v>
      </c>
      <c r="C6" s="10">
        <f>AVERAGE(H12:H122)</f>
        <v>0.40875</v>
      </c>
      <c r="D6" s="11" t="s">
        <v>10</v>
      </c>
      <c r="E6" s="12">
        <v>46100.0</v>
      </c>
      <c r="F6" s="7"/>
      <c r="G6" s="7"/>
      <c r="H6" s="8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ht="18.0" customHeight="1">
      <c r="A7" s="4"/>
      <c r="B7" s="1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ht="19.5" customHeight="1">
      <c r="B8" s="14"/>
      <c r="C8" s="15"/>
      <c r="D8" s="15"/>
      <c r="E8" s="15"/>
      <c r="F8" s="15"/>
      <c r="G8" s="15"/>
      <c r="H8" s="15"/>
      <c r="I8" s="15"/>
      <c r="J8" s="16" t="s">
        <v>11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  <c r="Y8" s="19" t="s">
        <v>12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8"/>
      <c r="AN8" s="20" t="s">
        <v>13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8"/>
      <c r="BC8" s="21" t="s">
        <v>14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8"/>
      <c r="BR8" s="22"/>
    </row>
    <row r="9" ht="19.5" customHeight="1">
      <c r="B9" s="23" t="s">
        <v>15</v>
      </c>
      <c r="C9" s="24" t="s">
        <v>15</v>
      </c>
      <c r="D9" s="24" t="s">
        <v>15</v>
      </c>
      <c r="E9" s="25" t="s">
        <v>16</v>
      </c>
      <c r="F9" s="26" t="s">
        <v>17</v>
      </c>
      <c r="G9" s="27" t="s">
        <v>18</v>
      </c>
      <c r="H9" s="28" t="s">
        <v>19</v>
      </c>
      <c r="I9" s="29"/>
      <c r="J9" s="30" t="s">
        <v>20</v>
      </c>
      <c r="K9" s="31"/>
      <c r="L9" s="31"/>
      <c r="M9" s="31"/>
      <c r="N9" s="32"/>
      <c r="O9" s="33" t="s">
        <v>21</v>
      </c>
      <c r="P9" s="31"/>
      <c r="Q9" s="31"/>
      <c r="R9" s="31"/>
      <c r="S9" s="32"/>
      <c r="T9" s="33" t="s">
        <v>22</v>
      </c>
      <c r="U9" s="31"/>
      <c r="V9" s="31"/>
      <c r="W9" s="31"/>
      <c r="X9" s="34"/>
      <c r="Y9" s="35" t="s">
        <v>23</v>
      </c>
      <c r="Z9" s="31"/>
      <c r="AA9" s="31"/>
      <c r="AB9" s="31"/>
      <c r="AC9" s="32"/>
      <c r="AD9" s="36" t="s">
        <v>24</v>
      </c>
      <c r="AE9" s="31"/>
      <c r="AF9" s="31"/>
      <c r="AG9" s="31"/>
      <c r="AH9" s="32"/>
      <c r="AI9" s="36" t="s">
        <v>25</v>
      </c>
      <c r="AJ9" s="31"/>
      <c r="AK9" s="31"/>
      <c r="AL9" s="31"/>
      <c r="AM9" s="34"/>
      <c r="AN9" s="37" t="s">
        <v>26</v>
      </c>
      <c r="AO9" s="31"/>
      <c r="AP9" s="31"/>
      <c r="AQ9" s="31"/>
      <c r="AR9" s="32"/>
      <c r="AS9" s="38" t="s">
        <v>27</v>
      </c>
      <c r="AT9" s="31"/>
      <c r="AU9" s="31"/>
      <c r="AV9" s="31"/>
      <c r="AW9" s="32"/>
      <c r="AX9" s="38" t="s">
        <v>28</v>
      </c>
      <c r="AY9" s="31"/>
      <c r="AZ9" s="31"/>
      <c r="BA9" s="31"/>
      <c r="BB9" s="34"/>
      <c r="BC9" s="39" t="s">
        <v>29</v>
      </c>
      <c r="BD9" s="31"/>
      <c r="BE9" s="31"/>
      <c r="BF9" s="31"/>
      <c r="BG9" s="32"/>
      <c r="BH9" s="40" t="s">
        <v>30</v>
      </c>
      <c r="BI9" s="31"/>
      <c r="BJ9" s="31"/>
      <c r="BK9" s="31"/>
      <c r="BL9" s="32"/>
      <c r="BM9" s="40" t="s">
        <v>31</v>
      </c>
      <c r="BN9" s="31"/>
      <c r="BO9" s="31"/>
      <c r="BP9" s="31"/>
      <c r="BQ9" s="41"/>
      <c r="BR9" s="42"/>
    </row>
    <row r="10" ht="19.5" customHeight="1">
      <c r="B10" s="43" t="s">
        <v>32</v>
      </c>
      <c r="C10" s="44" t="s">
        <v>33</v>
      </c>
      <c r="D10" s="44" t="s">
        <v>34</v>
      </c>
      <c r="E10" s="45" t="s">
        <v>35</v>
      </c>
      <c r="F10" s="46" t="s">
        <v>35</v>
      </c>
      <c r="G10" s="47" t="s">
        <v>36</v>
      </c>
      <c r="H10" s="48" t="s">
        <v>37</v>
      </c>
      <c r="I10" s="49"/>
      <c r="J10" s="50" t="s">
        <v>38</v>
      </c>
      <c r="K10" s="51" t="s">
        <v>39</v>
      </c>
      <c r="L10" s="51" t="s">
        <v>40</v>
      </c>
      <c r="M10" s="51" t="s">
        <v>39</v>
      </c>
      <c r="N10" s="51" t="s">
        <v>41</v>
      </c>
      <c r="O10" s="51" t="s">
        <v>38</v>
      </c>
      <c r="P10" s="51" t="s">
        <v>39</v>
      </c>
      <c r="Q10" s="51" t="s">
        <v>40</v>
      </c>
      <c r="R10" s="51" t="s">
        <v>42</v>
      </c>
      <c r="S10" s="51" t="s">
        <v>41</v>
      </c>
      <c r="T10" s="51" t="s">
        <v>38</v>
      </c>
      <c r="U10" s="51" t="s">
        <v>39</v>
      </c>
      <c r="V10" s="51" t="s">
        <v>40</v>
      </c>
      <c r="W10" s="51" t="s">
        <v>42</v>
      </c>
      <c r="X10" s="52" t="s">
        <v>41</v>
      </c>
      <c r="Y10" s="53" t="s">
        <v>38</v>
      </c>
      <c r="Z10" s="54" t="s">
        <v>39</v>
      </c>
      <c r="AA10" s="54" t="s">
        <v>40</v>
      </c>
      <c r="AB10" s="54" t="s">
        <v>42</v>
      </c>
      <c r="AC10" s="54" t="s">
        <v>41</v>
      </c>
      <c r="AD10" s="54" t="s">
        <v>38</v>
      </c>
      <c r="AE10" s="54" t="s">
        <v>39</v>
      </c>
      <c r="AF10" s="54" t="s">
        <v>40</v>
      </c>
      <c r="AG10" s="54" t="s">
        <v>42</v>
      </c>
      <c r="AH10" s="54" t="s">
        <v>41</v>
      </c>
      <c r="AI10" s="54" t="s">
        <v>38</v>
      </c>
      <c r="AJ10" s="54" t="s">
        <v>39</v>
      </c>
      <c r="AK10" s="54" t="s">
        <v>40</v>
      </c>
      <c r="AL10" s="54" t="s">
        <v>42</v>
      </c>
      <c r="AM10" s="55" t="s">
        <v>41</v>
      </c>
      <c r="AN10" s="56" t="s">
        <v>38</v>
      </c>
      <c r="AO10" s="57" t="s">
        <v>39</v>
      </c>
      <c r="AP10" s="57" t="s">
        <v>40</v>
      </c>
      <c r="AQ10" s="57" t="s">
        <v>42</v>
      </c>
      <c r="AR10" s="57" t="s">
        <v>41</v>
      </c>
      <c r="AS10" s="57" t="s">
        <v>38</v>
      </c>
      <c r="AT10" s="57" t="s">
        <v>39</v>
      </c>
      <c r="AU10" s="57" t="s">
        <v>40</v>
      </c>
      <c r="AV10" s="57" t="s">
        <v>42</v>
      </c>
      <c r="AW10" s="57" t="s">
        <v>41</v>
      </c>
      <c r="AX10" s="57" t="s">
        <v>38</v>
      </c>
      <c r="AY10" s="57" t="s">
        <v>39</v>
      </c>
      <c r="AZ10" s="57" t="s">
        <v>40</v>
      </c>
      <c r="BA10" s="57" t="s">
        <v>42</v>
      </c>
      <c r="BB10" s="58" t="s">
        <v>41</v>
      </c>
      <c r="BC10" s="59" t="s">
        <v>38</v>
      </c>
      <c r="BD10" s="60" t="s">
        <v>39</v>
      </c>
      <c r="BE10" s="60" t="s">
        <v>40</v>
      </c>
      <c r="BF10" s="60" t="s">
        <v>42</v>
      </c>
      <c r="BG10" s="60" t="s">
        <v>41</v>
      </c>
      <c r="BH10" s="60" t="s">
        <v>38</v>
      </c>
      <c r="BI10" s="60" t="s">
        <v>39</v>
      </c>
      <c r="BJ10" s="60" t="s">
        <v>40</v>
      </c>
      <c r="BK10" s="60" t="s">
        <v>42</v>
      </c>
      <c r="BL10" s="60" t="s">
        <v>41</v>
      </c>
      <c r="BM10" s="60" t="s">
        <v>38</v>
      </c>
      <c r="BN10" s="60" t="s">
        <v>39</v>
      </c>
      <c r="BO10" s="60" t="s">
        <v>40</v>
      </c>
      <c r="BP10" s="60" t="s">
        <v>42</v>
      </c>
      <c r="BQ10" s="61" t="s">
        <v>41</v>
      </c>
      <c r="BR10" s="62"/>
    </row>
    <row r="11" ht="19.5" customHeight="1">
      <c r="B11" s="63"/>
      <c r="C11" s="64" t="s">
        <v>43</v>
      </c>
      <c r="D11" s="65"/>
      <c r="E11" s="66"/>
      <c r="F11" s="67"/>
      <c r="G11" s="68" t="str">
        <f t="shared" ref="G11:G28" si="1">IF(F11-E11=0,"",F11-E11)</f>
        <v/>
      </c>
      <c r="H11" s="69"/>
      <c r="I11" s="70"/>
      <c r="J11" s="71" t="s">
        <v>44</v>
      </c>
      <c r="K11" s="71"/>
      <c r="L11" s="71"/>
      <c r="M11" s="71"/>
      <c r="N11" s="72"/>
      <c r="O11" s="72" t="s">
        <v>45</v>
      </c>
      <c r="P11" s="72"/>
      <c r="Q11" s="72"/>
      <c r="R11" s="72"/>
      <c r="S11" s="72"/>
      <c r="T11" s="73" t="s">
        <v>46</v>
      </c>
      <c r="U11" s="73"/>
      <c r="V11" s="73"/>
      <c r="W11" s="73"/>
      <c r="X11" s="74"/>
      <c r="Y11" s="75" t="s">
        <v>47</v>
      </c>
      <c r="Z11" s="72"/>
      <c r="AA11" s="72"/>
      <c r="AB11" s="72"/>
      <c r="AC11" s="72"/>
      <c r="AD11" s="72" t="s">
        <v>48</v>
      </c>
      <c r="AE11" s="72"/>
      <c r="AF11" s="72"/>
      <c r="AG11" s="72"/>
      <c r="AH11" s="72"/>
      <c r="AI11" s="76" t="s">
        <v>49</v>
      </c>
      <c r="AJ11" s="72"/>
      <c r="AK11" s="72"/>
      <c r="AL11" s="72"/>
      <c r="AM11" s="77"/>
      <c r="AN11" s="78" t="s">
        <v>50</v>
      </c>
      <c r="AO11" s="72"/>
      <c r="AP11" s="72"/>
      <c r="AQ11" s="72"/>
      <c r="AR11" s="72"/>
      <c r="AS11" s="72" t="s">
        <v>51</v>
      </c>
      <c r="AT11" s="72"/>
      <c r="AU11" s="72"/>
      <c r="AV11" s="72"/>
      <c r="AW11" s="72"/>
      <c r="AX11" s="72" t="s">
        <v>52</v>
      </c>
      <c r="AY11" s="72"/>
      <c r="AZ11" s="72"/>
      <c r="BA11" s="72"/>
      <c r="BB11" s="77"/>
      <c r="BC11" s="78" t="s">
        <v>53</v>
      </c>
      <c r="BD11" s="72"/>
      <c r="BE11" s="72"/>
      <c r="BF11" s="72"/>
      <c r="BG11" s="72"/>
      <c r="BH11" s="72" t="s">
        <v>54</v>
      </c>
      <c r="BI11" s="72"/>
      <c r="BJ11" s="72"/>
      <c r="BK11" s="72"/>
      <c r="BL11" s="72"/>
      <c r="BM11" s="72" t="s">
        <v>55</v>
      </c>
      <c r="BN11" s="72"/>
      <c r="BO11" s="72"/>
      <c r="BP11" s="72"/>
      <c r="BQ11" s="79"/>
      <c r="BR11" s="80"/>
    </row>
    <row r="12">
      <c r="B12" s="81"/>
      <c r="C12" s="82" t="s">
        <v>56</v>
      </c>
      <c r="D12" s="83"/>
      <c r="E12" s="84"/>
      <c r="F12" s="85"/>
      <c r="G12" s="86" t="str">
        <f t="shared" si="1"/>
        <v/>
      </c>
      <c r="H12" s="87"/>
      <c r="I12" s="88">
        <f>IF(H12=100%,1,0)</f>
        <v>0</v>
      </c>
      <c r="J12" s="89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1"/>
      <c r="Y12" s="92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1"/>
      <c r="AN12" s="92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1"/>
      <c r="BC12" s="92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3"/>
      <c r="BR12" s="94"/>
    </row>
    <row r="13">
      <c r="B13" s="81"/>
      <c r="C13" s="95" t="s">
        <v>57</v>
      </c>
      <c r="D13" s="14" t="s">
        <v>58</v>
      </c>
      <c r="E13" s="96">
        <v>46064.0</v>
      </c>
      <c r="F13" s="97"/>
      <c r="G13" s="98">
        <f t="shared" si="1"/>
        <v>-46064</v>
      </c>
      <c r="H13" s="99">
        <v>0.8</v>
      </c>
      <c r="I13" s="100"/>
      <c r="J13" s="101"/>
      <c r="K13" s="102"/>
      <c r="L13" s="102"/>
      <c r="M13" s="102"/>
      <c r="N13" s="102"/>
      <c r="O13" s="103"/>
      <c r="P13" s="103"/>
      <c r="Q13" s="102"/>
      <c r="R13" s="102"/>
      <c r="S13" s="102"/>
      <c r="T13" s="103"/>
      <c r="U13" s="103"/>
      <c r="V13" s="102"/>
      <c r="W13" s="102"/>
      <c r="X13" s="104"/>
      <c r="Y13" s="105"/>
      <c r="Z13" s="102"/>
      <c r="AA13" s="102"/>
      <c r="AB13" s="102"/>
      <c r="AC13" s="102"/>
      <c r="AD13" s="106"/>
      <c r="AE13" s="106"/>
      <c r="AF13" s="106"/>
      <c r="AG13" s="106"/>
      <c r="AH13" s="106"/>
      <c r="AI13" s="102"/>
      <c r="AJ13" s="102"/>
      <c r="AK13" s="102"/>
      <c r="AL13" s="102"/>
      <c r="AM13" s="104"/>
      <c r="AN13" s="105"/>
      <c r="AO13" s="102"/>
      <c r="AP13" s="102"/>
      <c r="AQ13" s="102"/>
      <c r="AR13" s="102"/>
      <c r="AS13" s="107"/>
      <c r="AT13" s="107"/>
      <c r="AU13" s="107"/>
      <c r="AV13" s="107"/>
      <c r="AW13" s="107"/>
      <c r="AX13" s="102"/>
      <c r="AY13" s="102"/>
      <c r="AZ13" s="102"/>
      <c r="BA13" s="102"/>
      <c r="BB13" s="104"/>
      <c r="BC13" s="105"/>
      <c r="BD13" s="102"/>
      <c r="BE13" s="102"/>
      <c r="BF13" s="102"/>
      <c r="BG13" s="102"/>
      <c r="BH13" s="108"/>
      <c r="BI13" s="108"/>
      <c r="BJ13" s="108"/>
      <c r="BK13" s="108"/>
      <c r="BL13" s="108"/>
      <c r="BM13" s="102"/>
      <c r="BN13" s="102"/>
      <c r="BO13" s="102"/>
      <c r="BP13" s="102"/>
      <c r="BQ13" s="109"/>
      <c r="BR13" s="14"/>
    </row>
    <row r="14">
      <c r="B14" s="81"/>
      <c r="C14" s="95" t="s">
        <v>59</v>
      </c>
      <c r="D14" s="14" t="s">
        <v>58</v>
      </c>
      <c r="E14" s="96">
        <v>46064.0</v>
      </c>
      <c r="F14" s="97"/>
      <c r="G14" s="98">
        <f t="shared" si="1"/>
        <v>-46064</v>
      </c>
      <c r="H14" s="99">
        <v>0.8</v>
      </c>
      <c r="I14" s="100"/>
      <c r="J14" s="101"/>
      <c r="K14" s="102"/>
      <c r="L14" s="102"/>
      <c r="M14" s="102"/>
      <c r="N14" s="102"/>
      <c r="O14" s="103"/>
      <c r="P14" s="103"/>
      <c r="Q14" s="102"/>
      <c r="R14" s="102"/>
      <c r="S14" s="102"/>
      <c r="T14" s="103"/>
      <c r="U14" s="103"/>
      <c r="V14" s="102"/>
      <c r="W14" s="102"/>
      <c r="X14" s="104"/>
      <c r="Y14" s="105"/>
      <c r="Z14" s="102"/>
      <c r="AA14" s="102"/>
      <c r="AB14" s="102"/>
      <c r="AC14" s="102"/>
      <c r="AD14" s="106"/>
      <c r="AE14" s="106"/>
      <c r="AF14" s="106"/>
      <c r="AG14" s="106"/>
      <c r="AH14" s="106"/>
      <c r="AI14" s="102"/>
      <c r="AJ14" s="102"/>
      <c r="AK14" s="102"/>
      <c r="AL14" s="102"/>
      <c r="AM14" s="104"/>
      <c r="AN14" s="105"/>
      <c r="AO14" s="102"/>
      <c r="AP14" s="102"/>
      <c r="AQ14" s="102"/>
      <c r="AR14" s="102"/>
      <c r="AS14" s="107"/>
      <c r="AT14" s="107"/>
      <c r="AU14" s="107"/>
      <c r="AV14" s="107"/>
      <c r="AW14" s="107"/>
      <c r="AX14" s="102"/>
      <c r="AY14" s="102"/>
      <c r="AZ14" s="102"/>
      <c r="BA14" s="102"/>
      <c r="BB14" s="104"/>
      <c r="BC14" s="105"/>
      <c r="BD14" s="102"/>
      <c r="BE14" s="102"/>
      <c r="BF14" s="102"/>
      <c r="BG14" s="102"/>
      <c r="BH14" s="108"/>
      <c r="BI14" s="108"/>
      <c r="BJ14" s="108"/>
      <c r="BK14" s="108"/>
      <c r="BL14" s="108"/>
      <c r="BM14" s="102"/>
      <c r="BN14" s="102"/>
      <c r="BO14" s="102"/>
      <c r="BP14" s="102"/>
      <c r="BQ14" s="109"/>
      <c r="BR14" s="14"/>
    </row>
    <row r="15">
      <c r="B15" s="81"/>
      <c r="C15" s="95" t="s">
        <v>60</v>
      </c>
      <c r="D15" s="14" t="s">
        <v>58</v>
      </c>
      <c r="E15" s="96">
        <v>46064.0</v>
      </c>
      <c r="F15" s="97"/>
      <c r="G15" s="98">
        <f t="shared" si="1"/>
        <v>-46064</v>
      </c>
      <c r="H15" s="99">
        <v>0.8</v>
      </c>
      <c r="I15" s="100"/>
      <c r="J15" s="101"/>
      <c r="K15" s="102"/>
      <c r="L15" s="102"/>
      <c r="M15" s="102"/>
      <c r="N15" s="102"/>
      <c r="O15" s="103"/>
      <c r="P15" s="103"/>
      <c r="Q15" s="102"/>
      <c r="R15" s="102"/>
      <c r="S15" s="102"/>
      <c r="T15" s="103"/>
      <c r="U15" s="103"/>
      <c r="V15" s="102"/>
      <c r="W15" s="102"/>
      <c r="X15" s="104"/>
      <c r="Y15" s="105"/>
      <c r="Z15" s="102"/>
      <c r="AA15" s="102"/>
      <c r="AB15" s="102"/>
      <c r="AC15" s="102"/>
      <c r="AD15" s="106"/>
      <c r="AE15" s="106"/>
      <c r="AF15" s="106"/>
      <c r="AG15" s="106"/>
      <c r="AH15" s="106"/>
      <c r="AI15" s="102"/>
      <c r="AJ15" s="102"/>
      <c r="AK15" s="102"/>
      <c r="AL15" s="102"/>
      <c r="AM15" s="104"/>
      <c r="AN15" s="105"/>
      <c r="AO15" s="102"/>
      <c r="AP15" s="102"/>
      <c r="AQ15" s="102"/>
      <c r="AR15" s="102"/>
      <c r="AS15" s="107"/>
      <c r="AT15" s="107"/>
      <c r="AU15" s="107"/>
      <c r="AV15" s="107"/>
      <c r="AW15" s="107"/>
      <c r="AX15" s="102"/>
      <c r="AY15" s="102"/>
      <c r="AZ15" s="102"/>
      <c r="BA15" s="102"/>
      <c r="BB15" s="104"/>
      <c r="BC15" s="105"/>
      <c r="BD15" s="102"/>
      <c r="BE15" s="102"/>
      <c r="BF15" s="102"/>
      <c r="BG15" s="102"/>
      <c r="BH15" s="108"/>
      <c r="BI15" s="108"/>
      <c r="BJ15" s="108"/>
      <c r="BK15" s="108"/>
      <c r="BL15" s="108"/>
      <c r="BM15" s="102"/>
      <c r="BN15" s="102"/>
      <c r="BO15" s="102"/>
      <c r="BP15" s="102"/>
      <c r="BQ15" s="109"/>
      <c r="BR15" s="14"/>
    </row>
    <row r="16">
      <c r="B16" s="81"/>
      <c r="C16" s="82" t="s">
        <v>61</v>
      </c>
      <c r="D16" s="83"/>
      <c r="E16" s="84"/>
      <c r="F16" s="85"/>
      <c r="G16" s="86" t="str">
        <f t="shared" si="1"/>
        <v/>
      </c>
      <c r="H16" s="87"/>
      <c r="I16" s="88">
        <f>IF(H16=100%,1,0)</f>
        <v>0</v>
      </c>
      <c r="J16" s="89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1"/>
      <c r="Y16" s="92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1"/>
      <c r="AN16" s="92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1"/>
      <c r="BC16" s="92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3"/>
      <c r="BR16" s="94"/>
    </row>
    <row r="17">
      <c r="B17" s="81"/>
      <c r="C17" s="95" t="s">
        <v>62</v>
      </c>
      <c r="D17" s="14" t="s">
        <v>58</v>
      </c>
      <c r="E17" s="110"/>
      <c r="F17" s="97"/>
      <c r="G17" s="98" t="str">
        <f t="shared" si="1"/>
        <v/>
      </c>
      <c r="H17" s="99">
        <v>0.9</v>
      </c>
      <c r="I17" s="100"/>
      <c r="J17" s="101"/>
      <c r="K17" s="102"/>
      <c r="L17" s="102"/>
      <c r="M17" s="102"/>
      <c r="N17" s="102"/>
      <c r="O17" s="103"/>
      <c r="P17" s="103"/>
      <c r="Q17" s="103"/>
      <c r="R17" s="102"/>
      <c r="S17" s="102"/>
      <c r="T17" s="103"/>
      <c r="U17" s="103"/>
      <c r="V17" s="102"/>
      <c r="W17" s="102"/>
      <c r="X17" s="104"/>
      <c r="Y17" s="105"/>
      <c r="Z17" s="102"/>
      <c r="AA17" s="102"/>
      <c r="AB17" s="102"/>
      <c r="AC17" s="102"/>
      <c r="AD17" s="106"/>
      <c r="AE17" s="106"/>
      <c r="AF17" s="106"/>
      <c r="AG17" s="106"/>
      <c r="AH17" s="106"/>
      <c r="AI17" s="102"/>
      <c r="AJ17" s="102"/>
      <c r="AK17" s="102"/>
      <c r="AL17" s="102"/>
      <c r="AM17" s="104"/>
      <c r="AN17" s="105"/>
      <c r="AO17" s="102"/>
      <c r="AP17" s="102"/>
      <c r="AQ17" s="102"/>
      <c r="AR17" s="102"/>
      <c r="AS17" s="107"/>
      <c r="AT17" s="107"/>
      <c r="AU17" s="107"/>
      <c r="AV17" s="107"/>
      <c r="AW17" s="107"/>
      <c r="AX17" s="102"/>
      <c r="AY17" s="102"/>
      <c r="AZ17" s="102"/>
      <c r="BA17" s="102"/>
      <c r="BB17" s="104"/>
      <c r="BC17" s="105"/>
      <c r="BD17" s="102"/>
      <c r="BE17" s="102"/>
      <c r="BF17" s="102"/>
      <c r="BG17" s="102"/>
      <c r="BH17" s="108"/>
      <c r="BI17" s="108"/>
      <c r="BJ17" s="108"/>
      <c r="BK17" s="108"/>
      <c r="BL17" s="108"/>
      <c r="BM17" s="102"/>
      <c r="BN17" s="102"/>
      <c r="BO17" s="102"/>
      <c r="BP17" s="102"/>
      <c r="BQ17" s="109"/>
      <c r="BR17" s="14"/>
    </row>
    <row r="18">
      <c r="A18" s="111"/>
      <c r="B18" s="112"/>
      <c r="C18" s="113" t="s">
        <v>63</v>
      </c>
      <c r="D18" s="114" t="s">
        <v>58</v>
      </c>
      <c r="E18" s="115"/>
      <c r="F18" s="116"/>
      <c r="G18" s="117" t="str">
        <f t="shared" si="1"/>
        <v/>
      </c>
      <c r="H18" s="118">
        <v>1.0</v>
      </c>
      <c r="I18" s="119"/>
      <c r="J18" s="120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2"/>
      <c r="Y18" s="123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2"/>
      <c r="AN18" s="123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2"/>
      <c r="BC18" s="123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4"/>
      <c r="BR18" s="114"/>
    </row>
    <row r="19">
      <c r="A19" s="125"/>
      <c r="B19" s="126"/>
      <c r="C19" s="127" t="s">
        <v>64</v>
      </c>
      <c r="D19" s="128" t="s">
        <v>58</v>
      </c>
      <c r="E19" s="129"/>
      <c r="F19" s="130"/>
      <c r="G19" s="131" t="str">
        <f t="shared" si="1"/>
        <v/>
      </c>
      <c r="H19" s="132">
        <v>0.2</v>
      </c>
      <c r="I19" s="133"/>
      <c r="J19" s="134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6"/>
      <c r="Y19" s="137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6"/>
      <c r="AN19" s="137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6"/>
      <c r="BC19" s="137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8"/>
      <c r="BR19" s="128"/>
    </row>
    <row r="20">
      <c r="B20" s="81" t="s">
        <v>65</v>
      </c>
      <c r="C20" s="82" t="s">
        <v>66</v>
      </c>
      <c r="D20" s="83"/>
      <c r="E20" s="84"/>
      <c r="F20" s="85"/>
      <c r="G20" s="86" t="str">
        <f t="shared" si="1"/>
        <v/>
      </c>
      <c r="H20" s="87"/>
      <c r="I20" s="88">
        <f>IF(H20=100%,1,0)</f>
        <v>0</v>
      </c>
      <c r="J20" s="89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1"/>
      <c r="Y20" s="92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1"/>
      <c r="AN20" s="92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1"/>
      <c r="BC20" s="92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3"/>
      <c r="BR20" s="94"/>
    </row>
    <row r="21">
      <c r="A21" s="125"/>
      <c r="B21" s="126"/>
      <c r="C21" s="127" t="s">
        <v>62</v>
      </c>
      <c r="D21" s="128" t="s">
        <v>58</v>
      </c>
      <c r="E21" s="129"/>
      <c r="F21" s="130"/>
      <c r="G21" s="131" t="str">
        <f t="shared" si="1"/>
        <v/>
      </c>
      <c r="H21" s="132">
        <v>0.5</v>
      </c>
      <c r="I21" s="133"/>
      <c r="J21" s="134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6"/>
      <c r="Y21" s="137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6"/>
      <c r="AN21" s="137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6"/>
      <c r="BC21" s="137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8"/>
      <c r="BR21" s="128"/>
    </row>
    <row r="22">
      <c r="A22" s="125"/>
      <c r="B22" s="126"/>
      <c r="C22" s="127" t="s">
        <v>63</v>
      </c>
      <c r="D22" s="128" t="s">
        <v>58</v>
      </c>
      <c r="E22" s="129"/>
      <c r="F22" s="130"/>
      <c r="G22" s="131" t="str">
        <f t="shared" si="1"/>
        <v/>
      </c>
      <c r="H22" s="132">
        <v>0.8</v>
      </c>
      <c r="I22" s="133"/>
      <c r="J22" s="134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6"/>
      <c r="Y22" s="137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6"/>
      <c r="AN22" s="137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6"/>
      <c r="BC22" s="137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8"/>
      <c r="BR22" s="128"/>
    </row>
    <row r="23">
      <c r="A23" s="125"/>
      <c r="B23" s="126"/>
      <c r="C23" s="127" t="s">
        <v>64</v>
      </c>
      <c r="D23" s="128" t="s">
        <v>58</v>
      </c>
      <c r="E23" s="129"/>
      <c r="F23" s="130"/>
      <c r="G23" s="131" t="str">
        <f t="shared" si="1"/>
        <v/>
      </c>
      <c r="H23" s="132">
        <v>0.8</v>
      </c>
      <c r="I23" s="133"/>
      <c r="J23" s="134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6"/>
      <c r="Y23" s="137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6"/>
      <c r="AN23" s="137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6"/>
      <c r="BC23" s="137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8"/>
      <c r="BR23" s="128"/>
    </row>
    <row r="24">
      <c r="B24" s="81" t="s">
        <v>67</v>
      </c>
      <c r="C24" s="139" t="s">
        <v>68</v>
      </c>
      <c r="D24" s="83"/>
      <c r="E24" s="84"/>
      <c r="F24" s="85"/>
      <c r="G24" s="86" t="str">
        <f t="shared" si="1"/>
        <v/>
      </c>
      <c r="H24" s="87"/>
      <c r="I24" s="88">
        <f t="shared" ref="I24:I28" si="2">IF(H24=100%,1,0)</f>
        <v>0</v>
      </c>
      <c r="J24" s="89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1"/>
      <c r="Y24" s="92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1"/>
      <c r="AN24" s="92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1"/>
      <c r="BC24" s="92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3"/>
      <c r="BR24" s="94"/>
    </row>
    <row r="25">
      <c r="A25" s="140"/>
      <c r="B25" s="141" t="s">
        <v>69</v>
      </c>
      <c r="C25" s="142" t="s">
        <v>70</v>
      </c>
      <c r="D25" s="143" t="s">
        <v>58</v>
      </c>
      <c r="E25" s="144">
        <v>46064.0</v>
      </c>
      <c r="F25" s="145"/>
      <c r="G25" s="146">
        <f t="shared" si="1"/>
        <v>-46064</v>
      </c>
      <c r="H25" s="147">
        <v>1.0</v>
      </c>
      <c r="I25" s="148">
        <f t="shared" si="2"/>
        <v>1</v>
      </c>
      <c r="J25" s="149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1"/>
      <c r="Y25" s="152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1"/>
      <c r="AN25" s="152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1"/>
      <c r="BC25" s="152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3"/>
      <c r="BR25" s="143"/>
    </row>
    <row r="26">
      <c r="A26" s="140"/>
      <c r="B26" s="141" t="s">
        <v>71</v>
      </c>
      <c r="C26" s="142" t="s">
        <v>72</v>
      </c>
      <c r="D26" s="143" t="s">
        <v>58</v>
      </c>
      <c r="E26" s="144">
        <v>46063.0</v>
      </c>
      <c r="F26" s="145"/>
      <c r="G26" s="146">
        <f t="shared" si="1"/>
        <v>-46063</v>
      </c>
      <c r="H26" s="147">
        <v>1.0</v>
      </c>
      <c r="I26" s="148">
        <f t="shared" si="2"/>
        <v>1</v>
      </c>
      <c r="J26" s="149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1"/>
      <c r="Y26" s="152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1"/>
      <c r="AN26" s="152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1"/>
      <c r="BC26" s="152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3"/>
      <c r="BR26" s="143"/>
    </row>
    <row r="27" ht="15.75" customHeight="1">
      <c r="A27" s="125"/>
      <c r="B27" s="126" t="s">
        <v>73</v>
      </c>
      <c r="C27" s="127" t="s">
        <v>74</v>
      </c>
      <c r="D27" s="154" t="s">
        <v>75</v>
      </c>
      <c r="E27" s="155">
        <v>46063.0</v>
      </c>
      <c r="F27" s="130"/>
      <c r="G27" s="131">
        <f t="shared" si="1"/>
        <v>-46063</v>
      </c>
      <c r="H27" s="132">
        <v>0.0</v>
      </c>
      <c r="I27" s="133">
        <f t="shared" si="2"/>
        <v>0</v>
      </c>
      <c r="J27" s="134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6"/>
      <c r="Y27" s="137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6"/>
      <c r="AN27" s="137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6"/>
      <c r="BC27" s="137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8"/>
      <c r="BR27" s="128"/>
    </row>
    <row r="28" ht="15.75" customHeight="1">
      <c r="A28" s="81"/>
      <c r="B28" s="81"/>
      <c r="C28" s="156" t="s">
        <v>76</v>
      </c>
      <c r="D28" s="83"/>
      <c r="E28" s="84"/>
      <c r="F28" s="85"/>
      <c r="G28" s="86" t="str">
        <f t="shared" si="1"/>
        <v/>
      </c>
      <c r="H28" s="87"/>
      <c r="I28" s="88">
        <f t="shared" si="2"/>
        <v>0</v>
      </c>
      <c r="J28" s="89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89"/>
      <c r="W28" s="90"/>
      <c r="X28" s="90"/>
      <c r="Y28" s="90"/>
      <c r="Z28" s="90"/>
      <c r="AA28" s="90"/>
      <c r="AB28" s="90"/>
      <c r="AC28" s="90"/>
      <c r="AD28" s="90"/>
      <c r="AE28" s="90"/>
      <c r="AF28" s="89"/>
      <c r="AG28" s="90"/>
      <c r="AH28" s="90"/>
      <c r="AI28" s="90"/>
      <c r="AJ28" s="90"/>
      <c r="AK28" s="90"/>
      <c r="AL28" s="90"/>
      <c r="AM28" s="90"/>
      <c r="AN28" s="90"/>
      <c r="AO28" s="90"/>
      <c r="AP28" s="89"/>
      <c r="AQ28" s="90"/>
      <c r="AR28" s="90"/>
      <c r="AS28" s="90"/>
      <c r="AT28" s="90"/>
      <c r="AU28" s="90"/>
      <c r="AV28" s="90"/>
      <c r="AW28" s="90"/>
      <c r="AX28" s="90"/>
      <c r="AY28" s="90"/>
      <c r="AZ28" s="89"/>
      <c r="BA28" s="90"/>
      <c r="BB28" s="90"/>
      <c r="BC28" s="90"/>
      <c r="BD28" s="90"/>
      <c r="BE28" s="90"/>
      <c r="BF28" s="90"/>
      <c r="BG28" s="90"/>
      <c r="BH28" s="90"/>
      <c r="BI28" s="89"/>
      <c r="BJ28" s="90"/>
      <c r="BK28" s="90"/>
      <c r="BL28" s="90"/>
      <c r="BM28" s="90"/>
      <c r="BN28" s="90"/>
      <c r="BO28" s="90"/>
      <c r="BP28" s="90"/>
      <c r="BQ28" s="90"/>
      <c r="BR28" s="90"/>
    </row>
    <row r="29" ht="15.75" customHeight="1">
      <c r="A29" s="126"/>
      <c r="B29" s="126" t="s">
        <v>65</v>
      </c>
      <c r="C29" s="139" t="s">
        <v>77</v>
      </c>
      <c r="D29" s="157"/>
      <c r="E29" s="158"/>
      <c r="F29" s="159"/>
      <c r="G29" s="160"/>
      <c r="H29" s="87"/>
      <c r="I29" s="161"/>
      <c r="J29" s="89"/>
      <c r="K29" s="90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89"/>
      <c r="W29" s="90"/>
      <c r="X29" s="162"/>
      <c r="Y29" s="162"/>
      <c r="Z29" s="162"/>
      <c r="AA29" s="162"/>
      <c r="AB29" s="162"/>
      <c r="AC29" s="162"/>
      <c r="AD29" s="162"/>
      <c r="AE29" s="162"/>
      <c r="AF29" s="89"/>
      <c r="AG29" s="90"/>
      <c r="AH29" s="162"/>
      <c r="AI29" s="162"/>
      <c r="AJ29" s="162"/>
      <c r="AK29" s="162"/>
      <c r="AL29" s="162"/>
      <c r="AM29" s="162"/>
      <c r="AN29" s="162"/>
      <c r="AO29" s="162"/>
      <c r="AP29" s="89"/>
      <c r="AQ29" s="90"/>
      <c r="AR29" s="162"/>
      <c r="AS29" s="162"/>
      <c r="AT29" s="162"/>
      <c r="AU29" s="162"/>
      <c r="AV29" s="162"/>
      <c r="AW29" s="162"/>
      <c r="AX29" s="162"/>
      <c r="AY29" s="162"/>
      <c r="AZ29" s="89"/>
      <c r="BA29" s="90"/>
      <c r="BB29" s="162"/>
      <c r="BC29" s="162"/>
      <c r="BD29" s="162"/>
      <c r="BE29" s="162"/>
      <c r="BF29" s="162"/>
      <c r="BG29" s="162"/>
      <c r="BH29" s="162"/>
      <c r="BI29" s="89"/>
      <c r="BJ29" s="90"/>
      <c r="BK29" s="162"/>
      <c r="BL29" s="162"/>
      <c r="BM29" s="162"/>
      <c r="BN29" s="162"/>
      <c r="BO29" s="162"/>
      <c r="BP29" s="162"/>
      <c r="BQ29" s="162"/>
      <c r="BR29" s="162"/>
    </row>
    <row r="30" ht="15.75" customHeight="1">
      <c r="A30" s="141"/>
      <c r="B30" s="141"/>
      <c r="C30" s="142" t="s">
        <v>78</v>
      </c>
      <c r="D30" s="163" t="s">
        <v>75</v>
      </c>
      <c r="E30" s="144">
        <v>46064.0</v>
      </c>
      <c r="F30" s="164">
        <v>46070.0</v>
      </c>
      <c r="G30" s="146">
        <f t="shared" ref="G30:G49" si="3">IF(F30-E30=0,"",F30-E30)</f>
        <v>6</v>
      </c>
      <c r="H30" s="147">
        <v>1.0</v>
      </c>
      <c r="I30" s="165"/>
      <c r="J30" s="149"/>
      <c r="K30" s="150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50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50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50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7"/>
      <c r="BR30" s="168"/>
    </row>
    <row r="31" ht="15.75" customHeight="1">
      <c r="A31" s="141"/>
      <c r="B31" s="141"/>
      <c r="C31" s="142" t="s">
        <v>79</v>
      </c>
      <c r="D31" s="163" t="s">
        <v>75</v>
      </c>
      <c r="E31" s="144">
        <v>46064.0</v>
      </c>
      <c r="F31" s="164">
        <v>46070.0</v>
      </c>
      <c r="G31" s="146">
        <f t="shared" si="3"/>
        <v>6</v>
      </c>
      <c r="H31" s="147">
        <v>1.0</v>
      </c>
      <c r="I31" s="165"/>
      <c r="J31" s="149"/>
      <c r="K31" s="150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7"/>
      <c r="Y31" s="169"/>
      <c r="Z31" s="170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50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50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7"/>
      <c r="BR31" s="168"/>
    </row>
    <row r="32" ht="15.75" customHeight="1">
      <c r="A32" s="81"/>
      <c r="B32" s="81"/>
      <c r="C32" s="139" t="s">
        <v>80</v>
      </c>
      <c r="D32" s="83"/>
      <c r="E32" s="84"/>
      <c r="F32" s="85"/>
      <c r="G32" s="86" t="str">
        <f t="shared" si="3"/>
        <v/>
      </c>
      <c r="H32" s="87"/>
      <c r="I32" s="88">
        <f>IF(H32=100%,1,0)</f>
        <v>0</v>
      </c>
      <c r="J32" s="89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1"/>
      <c r="Y32" s="92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1"/>
      <c r="AN32" s="92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1"/>
      <c r="BC32" s="92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3"/>
      <c r="BR32" s="94"/>
    </row>
    <row r="33" ht="15.75" customHeight="1">
      <c r="A33" s="81"/>
      <c r="B33" s="81"/>
      <c r="C33" s="95" t="s">
        <v>81</v>
      </c>
      <c r="D33" s="171" t="s">
        <v>75</v>
      </c>
      <c r="E33" s="172"/>
      <c r="F33" s="97"/>
      <c r="G33" s="98" t="str">
        <f t="shared" si="3"/>
        <v/>
      </c>
      <c r="H33" s="99">
        <v>0.4</v>
      </c>
      <c r="I33" s="173"/>
      <c r="J33" s="101"/>
      <c r="K33" s="102"/>
      <c r="L33" s="174"/>
      <c r="M33" s="174"/>
      <c r="N33" s="174"/>
      <c r="O33" s="174"/>
      <c r="P33" s="175"/>
      <c r="Q33" s="175"/>
      <c r="R33" s="175"/>
      <c r="S33" s="175"/>
      <c r="T33" s="175"/>
      <c r="U33" s="102"/>
      <c r="V33" s="174"/>
      <c r="W33" s="174"/>
      <c r="X33" s="174"/>
      <c r="Y33" s="174"/>
      <c r="Z33" s="175"/>
      <c r="AA33" s="175"/>
      <c r="AB33" s="175"/>
      <c r="AC33" s="175"/>
      <c r="AD33" s="175"/>
      <c r="AE33" s="174"/>
      <c r="AF33" s="176"/>
      <c r="AG33" s="176"/>
      <c r="AH33" s="176"/>
      <c r="AI33" s="176"/>
      <c r="AJ33" s="102"/>
      <c r="AK33" s="174"/>
      <c r="AL33" s="174"/>
      <c r="AM33" s="174"/>
      <c r="AN33" s="174"/>
      <c r="AO33" s="175"/>
      <c r="AP33" s="175"/>
      <c r="AQ33" s="175"/>
      <c r="AR33" s="175"/>
      <c r="AS33" s="175"/>
      <c r="AT33" s="174"/>
      <c r="AU33" s="177"/>
      <c r="AV33" s="177"/>
      <c r="AW33" s="177"/>
      <c r="AX33" s="177"/>
      <c r="AY33" s="174"/>
      <c r="AZ33" s="102"/>
      <c r="BA33" s="174"/>
      <c r="BB33" s="174"/>
      <c r="BC33" s="174"/>
      <c r="BD33" s="174"/>
      <c r="BE33" s="175"/>
      <c r="BF33" s="175"/>
      <c r="BG33" s="175"/>
      <c r="BH33" s="175"/>
      <c r="BI33" s="175"/>
      <c r="BJ33" s="174"/>
      <c r="BK33" s="178"/>
      <c r="BL33" s="178"/>
      <c r="BM33" s="178"/>
      <c r="BN33" s="174"/>
      <c r="BO33" s="174"/>
      <c r="BP33" s="174"/>
      <c r="BQ33" s="179"/>
      <c r="BR33" s="180"/>
    </row>
    <row r="34" ht="15.75" customHeight="1">
      <c r="A34" s="81"/>
      <c r="B34" s="81" t="s">
        <v>82</v>
      </c>
      <c r="C34" s="95" t="s">
        <v>83</v>
      </c>
      <c r="D34" s="171" t="s">
        <v>75</v>
      </c>
      <c r="E34" s="181"/>
      <c r="F34" s="97"/>
      <c r="G34" s="98" t="str">
        <f t="shared" si="3"/>
        <v/>
      </c>
      <c r="H34" s="99">
        <v>0.4</v>
      </c>
      <c r="I34" s="182"/>
      <c r="J34" s="101"/>
      <c r="K34" s="102"/>
      <c r="L34" s="174"/>
      <c r="M34" s="174"/>
      <c r="N34" s="174"/>
      <c r="O34" s="174"/>
      <c r="P34" s="175"/>
      <c r="Q34" s="175"/>
      <c r="R34" s="175"/>
      <c r="S34" s="175"/>
      <c r="T34" s="175"/>
      <c r="U34" s="102"/>
      <c r="V34" s="102"/>
      <c r="W34" s="174"/>
      <c r="X34" s="174"/>
      <c r="Y34" s="174"/>
      <c r="Z34" s="174"/>
      <c r="AA34" s="175"/>
      <c r="AB34" s="175"/>
      <c r="AC34" s="175"/>
      <c r="AD34" s="175"/>
      <c r="AE34" s="175"/>
      <c r="AF34" s="174"/>
      <c r="AG34" s="176"/>
      <c r="AH34" s="176"/>
      <c r="AI34" s="176"/>
      <c r="AJ34" s="102"/>
      <c r="AK34" s="174"/>
      <c r="AL34" s="174"/>
      <c r="AM34" s="174"/>
      <c r="AN34" s="174"/>
      <c r="AO34" s="175"/>
      <c r="AP34" s="175"/>
      <c r="AQ34" s="175"/>
      <c r="AR34" s="175"/>
      <c r="AS34" s="175"/>
      <c r="AT34" s="174"/>
      <c r="AU34" s="175"/>
      <c r="AV34" s="174"/>
      <c r="AW34" s="177"/>
      <c r="AX34" s="102"/>
      <c r="AY34" s="174"/>
      <c r="AZ34" s="174"/>
      <c r="BA34" s="174"/>
      <c r="BB34" s="174"/>
      <c r="BC34" s="175"/>
      <c r="BD34" s="175"/>
      <c r="BE34" s="175"/>
      <c r="BF34" s="175"/>
      <c r="BG34" s="175"/>
      <c r="BH34" s="174"/>
      <c r="BI34" s="175"/>
      <c r="BJ34" s="174"/>
      <c r="BK34" s="178"/>
      <c r="BL34" s="178"/>
      <c r="BM34" s="178"/>
      <c r="BN34" s="174"/>
      <c r="BO34" s="174"/>
      <c r="BP34" s="174"/>
      <c r="BQ34" s="174"/>
      <c r="BR34" s="183"/>
    </row>
    <row r="35" ht="15.75" customHeight="1">
      <c r="A35" s="184"/>
      <c r="B35" s="81"/>
      <c r="C35" s="95" t="s">
        <v>84</v>
      </c>
      <c r="D35" s="171" t="s">
        <v>75</v>
      </c>
      <c r="E35" s="172"/>
      <c r="F35" s="97"/>
      <c r="G35" s="98" t="str">
        <f t="shared" si="3"/>
        <v/>
      </c>
      <c r="H35" s="99">
        <v>0.4</v>
      </c>
      <c r="I35" s="173"/>
      <c r="J35" s="101"/>
      <c r="K35" s="102"/>
      <c r="L35" s="174"/>
      <c r="M35" s="174"/>
      <c r="N35" s="174"/>
      <c r="O35" s="174"/>
      <c r="P35" s="175"/>
      <c r="Q35" s="175"/>
      <c r="R35" s="175"/>
      <c r="S35" s="175"/>
      <c r="T35" s="175"/>
      <c r="U35" s="174"/>
      <c r="V35" s="102"/>
      <c r="W35" s="174"/>
      <c r="X35" s="174"/>
      <c r="Y35" s="174"/>
      <c r="Z35" s="174"/>
      <c r="AA35" s="175"/>
      <c r="AB35" s="175"/>
      <c r="AC35" s="175"/>
      <c r="AD35" s="175"/>
      <c r="AE35" s="175"/>
      <c r="AF35" s="174"/>
      <c r="AG35" s="176"/>
      <c r="AH35" s="176"/>
      <c r="AI35" s="176"/>
      <c r="AJ35" s="174"/>
      <c r="AK35" s="102"/>
      <c r="AL35" s="174"/>
      <c r="AM35" s="174"/>
      <c r="AN35" s="174"/>
      <c r="AO35" s="174"/>
      <c r="AP35" s="175"/>
      <c r="AQ35" s="175"/>
      <c r="AR35" s="175"/>
      <c r="AS35" s="175"/>
      <c r="AT35" s="175"/>
      <c r="AU35" s="174"/>
      <c r="AV35" s="177"/>
      <c r="AW35" s="177"/>
      <c r="AX35" s="102"/>
      <c r="AY35" s="174"/>
      <c r="AZ35" s="174"/>
      <c r="BA35" s="174"/>
      <c r="BB35" s="174"/>
      <c r="BC35" s="175"/>
      <c r="BD35" s="175"/>
      <c r="BE35" s="175"/>
      <c r="BF35" s="175"/>
      <c r="BG35" s="175"/>
      <c r="BH35" s="174"/>
      <c r="BI35" s="178"/>
      <c r="BJ35" s="178"/>
      <c r="BK35" s="178"/>
      <c r="BL35" s="178"/>
      <c r="BM35" s="178"/>
      <c r="BN35" s="174"/>
      <c r="BO35" s="174"/>
      <c r="BP35" s="174"/>
      <c r="BQ35" s="179"/>
      <c r="BR35" s="180"/>
    </row>
    <row r="36" ht="15.75" customHeight="1">
      <c r="B36" s="81" t="s">
        <v>85</v>
      </c>
      <c r="C36" s="139" t="s">
        <v>86</v>
      </c>
      <c r="D36" s="83"/>
      <c r="E36" s="84"/>
      <c r="F36" s="85"/>
      <c r="G36" s="86" t="str">
        <f t="shared" si="3"/>
        <v/>
      </c>
      <c r="H36" s="87"/>
      <c r="I36" s="88">
        <f t="shared" ref="I36:I37" si="4">IF(H36=100%,1,0)</f>
        <v>0</v>
      </c>
      <c r="J36" s="89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1"/>
      <c r="Y36" s="92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1"/>
      <c r="AN36" s="92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1"/>
      <c r="BC36" s="92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3"/>
      <c r="BR36" s="94"/>
    </row>
    <row r="37" ht="15.75" customHeight="1">
      <c r="B37" s="81" t="s">
        <v>67</v>
      </c>
      <c r="C37" s="95" t="s">
        <v>87</v>
      </c>
      <c r="D37" s="14" t="s">
        <v>88</v>
      </c>
      <c r="E37" s="96">
        <v>46063.0</v>
      </c>
      <c r="F37" s="97"/>
      <c r="G37" s="98">
        <f t="shared" si="3"/>
        <v>-46063</v>
      </c>
      <c r="H37" s="99">
        <v>0.2</v>
      </c>
      <c r="I37" s="100">
        <f t="shared" si="4"/>
        <v>0</v>
      </c>
      <c r="J37" s="101"/>
      <c r="K37" s="102"/>
      <c r="L37" s="102"/>
      <c r="M37" s="102"/>
      <c r="N37" s="102"/>
      <c r="O37" s="103"/>
      <c r="P37" s="103"/>
      <c r="Q37" s="103"/>
      <c r="R37" s="103"/>
      <c r="S37" s="103"/>
      <c r="T37" s="102"/>
      <c r="U37" s="102"/>
      <c r="V37" s="102"/>
      <c r="W37" s="102"/>
      <c r="X37" s="104"/>
      <c r="Y37" s="105"/>
      <c r="Z37" s="102"/>
      <c r="AA37" s="102"/>
      <c r="AB37" s="102"/>
      <c r="AC37" s="102"/>
      <c r="AD37" s="106"/>
      <c r="AE37" s="106"/>
      <c r="AF37" s="106"/>
      <c r="AG37" s="106"/>
      <c r="AH37" s="106"/>
      <c r="AI37" s="102"/>
      <c r="AJ37" s="102"/>
      <c r="AK37" s="102"/>
      <c r="AL37" s="102"/>
      <c r="AM37" s="104"/>
      <c r="AN37" s="105"/>
      <c r="AO37" s="102"/>
      <c r="AP37" s="102"/>
      <c r="AQ37" s="102"/>
      <c r="AR37" s="102"/>
      <c r="AS37" s="107"/>
      <c r="AT37" s="107"/>
      <c r="AU37" s="107"/>
      <c r="AV37" s="107"/>
      <c r="AW37" s="107"/>
      <c r="AX37" s="102"/>
      <c r="AY37" s="102"/>
      <c r="AZ37" s="102"/>
      <c r="BA37" s="102"/>
      <c r="BB37" s="104"/>
      <c r="BC37" s="105"/>
      <c r="BD37" s="102"/>
      <c r="BE37" s="102"/>
      <c r="BF37" s="102"/>
      <c r="BG37" s="102"/>
      <c r="BH37" s="108"/>
      <c r="BI37" s="108"/>
      <c r="BJ37" s="108"/>
      <c r="BK37" s="108"/>
      <c r="BL37" s="108"/>
      <c r="BM37" s="102"/>
      <c r="BN37" s="102"/>
      <c r="BO37" s="102"/>
      <c r="BP37" s="102"/>
      <c r="BQ37" s="109"/>
      <c r="BR37" s="14"/>
    </row>
    <row r="38" ht="15.75" customHeight="1">
      <c r="A38" s="125"/>
      <c r="B38" s="126" t="s">
        <v>69</v>
      </c>
      <c r="C38" s="127" t="s">
        <v>89</v>
      </c>
      <c r="D38" s="14" t="s">
        <v>88</v>
      </c>
      <c r="E38" s="155"/>
      <c r="F38" s="185"/>
      <c r="G38" s="98" t="str">
        <f t="shared" si="3"/>
        <v/>
      </c>
      <c r="H38" s="99">
        <v>0.2</v>
      </c>
      <c r="I38" s="135"/>
      <c r="J38" s="186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6"/>
      <c r="Y38" s="137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6"/>
      <c r="AN38" s="137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  <c r="BC38" s="137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28"/>
    </row>
    <row r="39" ht="15.75" customHeight="1">
      <c r="B39" s="81" t="s">
        <v>71</v>
      </c>
      <c r="C39" s="95" t="s">
        <v>90</v>
      </c>
      <c r="D39" s="14" t="s">
        <v>88</v>
      </c>
      <c r="E39" s="96"/>
      <c r="F39" s="97"/>
      <c r="G39" s="98" t="str">
        <f t="shared" si="3"/>
        <v/>
      </c>
      <c r="H39" s="99">
        <v>0.4</v>
      </c>
      <c r="I39" s="100">
        <f t="shared" ref="I39:I41" si="5">IF(H39=100%,1,0)</f>
        <v>0</v>
      </c>
      <c r="J39" s="101"/>
      <c r="K39" s="102"/>
      <c r="L39" s="102"/>
      <c r="M39" s="102"/>
      <c r="N39" s="102"/>
      <c r="O39" s="103"/>
      <c r="P39" s="103"/>
      <c r="Q39" s="103"/>
      <c r="R39" s="103"/>
      <c r="S39" s="103"/>
      <c r="T39" s="102"/>
      <c r="U39" s="102"/>
      <c r="V39" s="102"/>
      <c r="W39" s="102"/>
      <c r="X39" s="104"/>
      <c r="Y39" s="105"/>
      <c r="Z39" s="102"/>
      <c r="AA39" s="102"/>
      <c r="AB39" s="102"/>
      <c r="AC39" s="102"/>
      <c r="AD39" s="106"/>
      <c r="AE39" s="106"/>
      <c r="AF39" s="106"/>
      <c r="AG39" s="106"/>
      <c r="AH39" s="106"/>
      <c r="AI39" s="102"/>
      <c r="AJ39" s="102"/>
      <c r="AK39" s="102"/>
      <c r="AL39" s="102"/>
      <c r="AM39" s="104"/>
      <c r="AN39" s="105"/>
      <c r="AO39" s="102"/>
      <c r="AP39" s="102"/>
      <c r="AQ39" s="102"/>
      <c r="AR39" s="102"/>
      <c r="AS39" s="107"/>
      <c r="AT39" s="107"/>
      <c r="AU39" s="107"/>
      <c r="AV39" s="107"/>
      <c r="AW39" s="107"/>
      <c r="AX39" s="102"/>
      <c r="AY39" s="102"/>
      <c r="AZ39" s="102"/>
      <c r="BA39" s="102"/>
      <c r="BB39" s="104"/>
      <c r="BC39" s="105"/>
      <c r="BD39" s="102"/>
      <c r="BE39" s="102"/>
      <c r="BF39" s="102"/>
      <c r="BG39" s="102"/>
      <c r="BH39" s="108"/>
      <c r="BI39" s="108"/>
      <c r="BJ39" s="108"/>
      <c r="BK39" s="108"/>
      <c r="BL39" s="108"/>
      <c r="BM39" s="102"/>
      <c r="BN39" s="102"/>
      <c r="BO39" s="102"/>
      <c r="BP39" s="102"/>
      <c r="BQ39" s="109"/>
      <c r="BR39" s="14"/>
    </row>
    <row r="40" ht="15.75" customHeight="1">
      <c r="B40" s="81" t="s">
        <v>73</v>
      </c>
      <c r="C40" s="139" t="s">
        <v>91</v>
      </c>
      <c r="D40" s="83"/>
      <c r="E40" s="84"/>
      <c r="F40" s="85"/>
      <c r="G40" s="86" t="str">
        <f t="shared" si="3"/>
        <v/>
      </c>
      <c r="H40" s="87"/>
      <c r="I40" s="88">
        <f t="shared" si="5"/>
        <v>0</v>
      </c>
      <c r="J40" s="89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1"/>
      <c r="Y40" s="92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1"/>
      <c r="AN40" s="92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1"/>
      <c r="BC40" s="92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3"/>
      <c r="BR40" s="94"/>
    </row>
    <row r="41" ht="15.75" customHeight="1">
      <c r="B41" s="81" t="s">
        <v>92</v>
      </c>
      <c r="C41" s="95" t="s">
        <v>93</v>
      </c>
      <c r="D41" s="171" t="s">
        <v>75</v>
      </c>
      <c r="E41" s="96"/>
      <c r="F41" s="97"/>
      <c r="G41" s="98" t="str">
        <f t="shared" si="3"/>
        <v/>
      </c>
      <c r="H41" s="99">
        <v>0.0</v>
      </c>
      <c r="I41" s="100">
        <f t="shared" si="5"/>
        <v>0</v>
      </c>
      <c r="J41" s="101"/>
      <c r="K41" s="102"/>
      <c r="L41" s="102"/>
      <c r="M41" s="102"/>
      <c r="N41" s="102"/>
      <c r="O41" s="103"/>
      <c r="P41" s="103"/>
      <c r="Q41" s="103"/>
      <c r="R41" s="103"/>
      <c r="S41" s="103"/>
      <c r="T41" s="102"/>
      <c r="U41" s="102"/>
      <c r="V41" s="102"/>
      <c r="W41" s="102"/>
      <c r="X41" s="104"/>
      <c r="Y41" s="105"/>
      <c r="Z41" s="102"/>
      <c r="AA41" s="102"/>
      <c r="AB41" s="102"/>
      <c r="AC41" s="102"/>
      <c r="AD41" s="106"/>
      <c r="AE41" s="106"/>
      <c r="AF41" s="106"/>
      <c r="AG41" s="106"/>
      <c r="AH41" s="106"/>
      <c r="AI41" s="102"/>
      <c r="AJ41" s="102"/>
      <c r="AK41" s="102"/>
      <c r="AL41" s="102"/>
      <c r="AM41" s="104"/>
      <c r="AN41" s="105"/>
      <c r="AO41" s="102"/>
      <c r="AP41" s="102"/>
      <c r="AQ41" s="102"/>
      <c r="AR41" s="102"/>
      <c r="AS41" s="107"/>
      <c r="AT41" s="107"/>
      <c r="AU41" s="107"/>
      <c r="AV41" s="107"/>
      <c r="AW41" s="107"/>
      <c r="AX41" s="102"/>
      <c r="AY41" s="102"/>
      <c r="AZ41" s="102"/>
      <c r="BA41" s="102"/>
      <c r="BB41" s="104"/>
      <c r="BC41" s="105"/>
      <c r="BD41" s="102"/>
      <c r="BE41" s="102"/>
      <c r="BF41" s="102"/>
      <c r="BG41" s="102"/>
      <c r="BH41" s="108"/>
      <c r="BI41" s="108"/>
      <c r="BJ41" s="108"/>
      <c r="BK41" s="108"/>
      <c r="BL41" s="108"/>
      <c r="BM41" s="102"/>
      <c r="BN41" s="102"/>
      <c r="BO41" s="102"/>
      <c r="BP41" s="102"/>
      <c r="BQ41" s="109"/>
      <c r="BR41" s="14"/>
    </row>
    <row r="42" ht="15.75" customHeight="1">
      <c r="A42" s="111"/>
      <c r="B42" s="112"/>
      <c r="C42" s="113" t="s">
        <v>94</v>
      </c>
      <c r="D42" s="187" t="s">
        <v>75</v>
      </c>
      <c r="E42" s="188"/>
      <c r="F42" s="116"/>
      <c r="G42" s="117" t="str">
        <f t="shared" si="3"/>
        <v/>
      </c>
      <c r="H42" s="118">
        <v>1.0</v>
      </c>
      <c r="I42" s="119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2"/>
      <c r="Y42" s="123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2"/>
      <c r="AN42" s="123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2"/>
      <c r="BC42" s="123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4"/>
      <c r="BR42" s="114"/>
    </row>
    <row r="43" ht="15.75" customHeight="1">
      <c r="A43" s="125"/>
      <c r="B43" s="126" t="s">
        <v>95</v>
      </c>
      <c r="C43" s="127" t="s">
        <v>96</v>
      </c>
      <c r="D43" s="189" t="s">
        <v>75</v>
      </c>
      <c r="E43" s="155"/>
      <c r="F43" s="130"/>
      <c r="G43" s="131" t="str">
        <f t="shared" si="3"/>
        <v/>
      </c>
      <c r="H43" s="132">
        <v>0.5</v>
      </c>
      <c r="I43" s="133">
        <f>IF(H43=100%,1,0)</f>
        <v>0</v>
      </c>
      <c r="J43" s="134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6"/>
      <c r="Y43" s="137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6"/>
      <c r="AN43" s="137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  <c r="BC43" s="137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8"/>
      <c r="BR43" s="128"/>
    </row>
    <row r="44" ht="15.75" customHeight="1">
      <c r="B44" s="190"/>
      <c r="C44" s="139" t="s">
        <v>97</v>
      </c>
      <c r="D44" s="191"/>
      <c r="E44" s="192"/>
      <c r="F44" s="193"/>
      <c r="G44" s="194" t="str">
        <f t="shared" si="3"/>
        <v/>
      </c>
      <c r="H44" s="195"/>
      <c r="I44" s="195"/>
      <c r="J44" s="71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7"/>
      <c r="Y44" s="78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7"/>
      <c r="AN44" s="78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7"/>
      <c r="BC44" s="78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9"/>
      <c r="BR44" s="80"/>
    </row>
    <row r="45" ht="15.75" customHeight="1">
      <c r="A45" s="111"/>
      <c r="B45" s="112"/>
      <c r="C45" s="113" t="s">
        <v>98</v>
      </c>
      <c r="D45" s="187" t="s">
        <v>75</v>
      </c>
      <c r="E45" s="188"/>
      <c r="F45" s="116"/>
      <c r="G45" s="117" t="str">
        <f t="shared" si="3"/>
        <v/>
      </c>
      <c r="H45" s="118">
        <v>1.0</v>
      </c>
      <c r="I45" s="119"/>
      <c r="J45" s="120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2"/>
      <c r="Y45" s="123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2"/>
      <c r="AN45" s="123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2"/>
      <c r="BC45" s="123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4"/>
      <c r="BR45" s="114"/>
    </row>
    <row r="46" ht="15.75" customHeight="1">
      <c r="A46" s="111"/>
      <c r="B46" s="112"/>
      <c r="C46" s="113" t="s">
        <v>99</v>
      </c>
      <c r="D46" s="187" t="s">
        <v>75</v>
      </c>
      <c r="E46" s="188"/>
      <c r="F46" s="116"/>
      <c r="G46" s="117" t="str">
        <f t="shared" si="3"/>
        <v/>
      </c>
      <c r="H46" s="118">
        <v>1.0</v>
      </c>
      <c r="I46" s="119"/>
      <c r="J46" s="120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2"/>
      <c r="Y46" s="123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2"/>
      <c r="AN46" s="123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2"/>
      <c r="BC46" s="123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4"/>
      <c r="BR46" s="114"/>
    </row>
    <row r="47" ht="15.75" customHeight="1">
      <c r="A47" s="111"/>
      <c r="B47" s="112"/>
      <c r="C47" s="113" t="s">
        <v>100</v>
      </c>
      <c r="D47" s="187" t="s">
        <v>75</v>
      </c>
      <c r="E47" s="188"/>
      <c r="F47" s="116"/>
      <c r="G47" s="117" t="str">
        <f t="shared" si="3"/>
        <v/>
      </c>
      <c r="H47" s="118">
        <v>1.0</v>
      </c>
      <c r="I47" s="119"/>
      <c r="J47" s="120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2"/>
      <c r="Y47" s="123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2"/>
      <c r="AN47" s="123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2"/>
      <c r="BC47" s="123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4"/>
      <c r="BR47" s="114"/>
    </row>
    <row r="48" ht="15.75" customHeight="1">
      <c r="B48" s="81"/>
      <c r="C48" s="95" t="s">
        <v>101</v>
      </c>
      <c r="D48" s="171" t="s">
        <v>75</v>
      </c>
      <c r="E48" s="96"/>
      <c r="F48" s="97"/>
      <c r="G48" s="98" t="str">
        <f t="shared" si="3"/>
        <v/>
      </c>
      <c r="H48" s="99">
        <v>0.2</v>
      </c>
      <c r="I48" s="100"/>
      <c r="J48" s="101"/>
      <c r="K48" s="102"/>
      <c r="L48" s="102"/>
      <c r="M48" s="102"/>
      <c r="N48" s="102"/>
      <c r="O48" s="103"/>
      <c r="P48" s="103"/>
      <c r="Q48" s="103"/>
      <c r="R48" s="103"/>
      <c r="S48" s="103"/>
      <c r="T48" s="102"/>
      <c r="U48" s="102"/>
      <c r="V48" s="102"/>
      <c r="W48" s="102"/>
      <c r="X48" s="104"/>
      <c r="Y48" s="105"/>
      <c r="Z48" s="102"/>
      <c r="AA48" s="102"/>
      <c r="AB48" s="102"/>
      <c r="AC48" s="102"/>
      <c r="AD48" s="106"/>
      <c r="AE48" s="106"/>
      <c r="AF48" s="106"/>
      <c r="AG48" s="106"/>
      <c r="AH48" s="106"/>
      <c r="AI48" s="102"/>
      <c r="AJ48" s="102"/>
      <c r="AK48" s="102"/>
      <c r="AL48" s="102"/>
      <c r="AM48" s="104"/>
      <c r="AN48" s="105"/>
      <c r="AO48" s="102"/>
      <c r="AP48" s="102"/>
      <c r="AQ48" s="102"/>
      <c r="AR48" s="102"/>
      <c r="AS48" s="107"/>
      <c r="AT48" s="107"/>
      <c r="AU48" s="107"/>
      <c r="AV48" s="107"/>
      <c r="AW48" s="107"/>
      <c r="AX48" s="102"/>
      <c r="AY48" s="102"/>
      <c r="AZ48" s="102"/>
      <c r="BA48" s="102"/>
      <c r="BB48" s="104"/>
      <c r="BC48" s="105"/>
      <c r="BD48" s="102"/>
      <c r="BE48" s="102"/>
      <c r="BF48" s="102"/>
      <c r="BG48" s="102"/>
      <c r="BH48" s="108"/>
      <c r="BI48" s="108"/>
      <c r="BJ48" s="108"/>
      <c r="BK48" s="108"/>
      <c r="BL48" s="108"/>
      <c r="BM48" s="102"/>
      <c r="BN48" s="102"/>
      <c r="BO48" s="102"/>
      <c r="BP48" s="102"/>
      <c r="BQ48" s="109"/>
      <c r="BR48" s="14"/>
    </row>
    <row r="49" ht="15.75" customHeight="1">
      <c r="B49" s="81"/>
      <c r="C49" s="139" t="s">
        <v>102</v>
      </c>
      <c r="D49" s="83"/>
      <c r="E49" s="84"/>
      <c r="F49" s="85"/>
      <c r="G49" s="86" t="str">
        <f t="shared" si="3"/>
        <v/>
      </c>
      <c r="H49" s="87"/>
      <c r="I49" s="88">
        <f>IF(H49=100%,1,0)</f>
        <v>0</v>
      </c>
      <c r="J49" s="89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1"/>
      <c r="Y49" s="92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1"/>
      <c r="AN49" s="92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1"/>
      <c r="BC49" s="92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3"/>
      <c r="BR49" s="94"/>
    </row>
    <row r="50" ht="15.75" customHeight="1">
      <c r="B50" s="81"/>
      <c r="C50" s="95" t="s">
        <v>103</v>
      </c>
      <c r="D50" s="171" t="s">
        <v>75</v>
      </c>
      <c r="E50" s="96"/>
      <c r="F50" s="97"/>
      <c r="G50" s="98"/>
      <c r="H50" s="99">
        <v>0.5</v>
      </c>
      <c r="I50" s="100"/>
      <c r="J50" s="101"/>
      <c r="K50" s="102"/>
      <c r="L50" s="102"/>
      <c r="M50" s="102"/>
      <c r="N50" s="102"/>
      <c r="O50" s="103"/>
      <c r="P50" s="103"/>
      <c r="Q50" s="103"/>
      <c r="R50" s="103"/>
      <c r="S50" s="103"/>
      <c r="T50" s="102"/>
      <c r="U50" s="102"/>
      <c r="V50" s="102"/>
      <c r="W50" s="102"/>
      <c r="X50" s="104"/>
      <c r="Y50" s="105"/>
      <c r="Z50" s="102"/>
      <c r="AA50" s="102"/>
      <c r="AB50" s="102"/>
      <c r="AC50" s="102"/>
      <c r="AD50" s="106"/>
      <c r="AE50" s="106"/>
      <c r="AF50" s="106"/>
      <c r="AG50" s="106"/>
      <c r="AH50" s="106"/>
      <c r="AI50" s="102"/>
      <c r="AJ50" s="102"/>
      <c r="AK50" s="102"/>
      <c r="AL50" s="102"/>
      <c r="AM50" s="104"/>
      <c r="AN50" s="105"/>
      <c r="AO50" s="102"/>
      <c r="AP50" s="102"/>
      <c r="AQ50" s="102"/>
      <c r="AR50" s="102"/>
      <c r="AS50" s="107"/>
      <c r="AT50" s="107"/>
      <c r="AU50" s="107"/>
      <c r="AV50" s="107"/>
      <c r="AW50" s="107"/>
      <c r="AX50" s="102"/>
      <c r="AY50" s="102"/>
      <c r="AZ50" s="102"/>
      <c r="BA50" s="102"/>
      <c r="BB50" s="104"/>
      <c r="BC50" s="105"/>
      <c r="BD50" s="102"/>
      <c r="BE50" s="102"/>
      <c r="BF50" s="102"/>
      <c r="BG50" s="102"/>
      <c r="BH50" s="108"/>
      <c r="BI50" s="108"/>
      <c r="BJ50" s="108"/>
      <c r="BK50" s="108"/>
      <c r="BL50" s="108"/>
      <c r="BM50" s="102"/>
      <c r="BN50" s="102"/>
      <c r="BO50" s="102"/>
      <c r="BP50" s="102"/>
      <c r="BQ50" s="109"/>
      <c r="BR50" s="14"/>
    </row>
    <row r="51" ht="15.75" customHeight="1">
      <c r="B51" s="81"/>
      <c r="C51" s="95" t="s">
        <v>104</v>
      </c>
      <c r="D51" s="171" t="s">
        <v>75</v>
      </c>
      <c r="E51" s="96"/>
      <c r="F51" s="97"/>
      <c r="G51" s="98"/>
      <c r="H51" s="99">
        <v>0.5</v>
      </c>
      <c r="I51" s="100"/>
      <c r="J51" s="101"/>
      <c r="K51" s="102"/>
      <c r="L51" s="102"/>
      <c r="M51" s="102"/>
      <c r="N51" s="102"/>
      <c r="O51" s="103"/>
      <c r="P51" s="103"/>
      <c r="Q51" s="103"/>
      <c r="R51" s="103"/>
      <c r="S51" s="103"/>
      <c r="T51" s="102"/>
      <c r="U51" s="102"/>
      <c r="V51" s="102"/>
      <c r="W51" s="102"/>
      <c r="X51" s="104"/>
      <c r="Y51" s="105"/>
      <c r="Z51" s="102"/>
      <c r="AA51" s="102"/>
      <c r="AB51" s="102"/>
      <c r="AC51" s="102"/>
      <c r="AD51" s="106"/>
      <c r="AE51" s="106"/>
      <c r="AF51" s="106"/>
      <c r="AG51" s="106"/>
      <c r="AH51" s="106"/>
      <c r="AI51" s="102"/>
      <c r="AJ51" s="102"/>
      <c r="AK51" s="102"/>
      <c r="AL51" s="102"/>
      <c r="AM51" s="104"/>
      <c r="AN51" s="105"/>
      <c r="AO51" s="102"/>
      <c r="AP51" s="102"/>
      <c r="AQ51" s="102"/>
      <c r="AR51" s="102"/>
      <c r="AS51" s="107"/>
      <c r="AT51" s="107"/>
      <c r="AU51" s="107"/>
      <c r="AV51" s="107"/>
      <c r="AW51" s="107"/>
      <c r="AX51" s="102"/>
      <c r="AY51" s="102"/>
      <c r="AZ51" s="102"/>
      <c r="BA51" s="102"/>
      <c r="BB51" s="104"/>
      <c r="BC51" s="105"/>
      <c r="BD51" s="102"/>
      <c r="BE51" s="102"/>
      <c r="BF51" s="102"/>
      <c r="BG51" s="102"/>
      <c r="BH51" s="108"/>
      <c r="BI51" s="108"/>
      <c r="BJ51" s="108"/>
      <c r="BK51" s="108"/>
      <c r="BL51" s="108"/>
      <c r="BM51" s="102"/>
      <c r="BN51" s="102"/>
      <c r="BO51" s="102"/>
      <c r="BP51" s="102"/>
      <c r="BQ51" s="109"/>
      <c r="BR51" s="14"/>
    </row>
    <row r="52" ht="15.75" customHeight="1">
      <c r="B52" s="81"/>
      <c r="C52" s="95" t="s">
        <v>105</v>
      </c>
      <c r="D52" s="171" t="s">
        <v>75</v>
      </c>
      <c r="E52" s="96"/>
      <c r="F52" s="97"/>
      <c r="G52" s="98"/>
      <c r="H52" s="99">
        <v>0.5</v>
      </c>
      <c r="I52" s="100"/>
      <c r="J52" s="101"/>
      <c r="K52" s="102"/>
      <c r="L52" s="102"/>
      <c r="M52" s="102"/>
      <c r="N52" s="102"/>
      <c r="O52" s="103"/>
      <c r="P52" s="103"/>
      <c r="Q52" s="103"/>
      <c r="R52" s="103"/>
      <c r="S52" s="103"/>
      <c r="T52" s="102"/>
      <c r="U52" s="102"/>
      <c r="V52" s="102"/>
      <c r="W52" s="102"/>
      <c r="X52" s="104"/>
      <c r="Y52" s="105"/>
      <c r="Z52" s="102"/>
      <c r="AA52" s="102"/>
      <c r="AB52" s="102"/>
      <c r="AC52" s="102"/>
      <c r="AD52" s="106"/>
      <c r="AE52" s="106"/>
      <c r="AF52" s="106"/>
      <c r="AG52" s="106"/>
      <c r="AH52" s="106"/>
      <c r="AI52" s="102"/>
      <c r="AJ52" s="102"/>
      <c r="AK52" s="102"/>
      <c r="AL52" s="102"/>
      <c r="AM52" s="104"/>
      <c r="AN52" s="105"/>
      <c r="AO52" s="102"/>
      <c r="AP52" s="102"/>
      <c r="AQ52" s="102"/>
      <c r="AR52" s="102"/>
      <c r="AS52" s="107"/>
      <c r="AT52" s="107"/>
      <c r="AU52" s="107"/>
      <c r="AV52" s="107"/>
      <c r="AW52" s="107"/>
      <c r="AX52" s="102"/>
      <c r="AY52" s="102"/>
      <c r="AZ52" s="102"/>
      <c r="BA52" s="102"/>
      <c r="BB52" s="104"/>
      <c r="BC52" s="105"/>
      <c r="BD52" s="102"/>
      <c r="BE52" s="102"/>
      <c r="BF52" s="102"/>
      <c r="BG52" s="102"/>
      <c r="BH52" s="108"/>
      <c r="BI52" s="108"/>
      <c r="BJ52" s="108"/>
      <c r="BK52" s="108"/>
      <c r="BL52" s="108"/>
      <c r="BM52" s="102"/>
      <c r="BN52" s="102"/>
      <c r="BO52" s="102"/>
      <c r="BP52" s="102"/>
      <c r="BQ52" s="109"/>
      <c r="BR52" s="14"/>
    </row>
    <row r="53" ht="15.75" customHeight="1">
      <c r="B53" s="81"/>
      <c r="C53" s="95" t="s">
        <v>106</v>
      </c>
      <c r="D53" s="171" t="s">
        <v>75</v>
      </c>
      <c r="E53" s="96"/>
      <c r="F53" s="97"/>
      <c r="G53" s="98"/>
      <c r="H53" s="99">
        <v>0.5</v>
      </c>
      <c r="I53" s="100"/>
      <c r="J53" s="101"/>
      <c r="K53" s="102"/>
      <c r="L53" s="102"/>
      <c r="M53" s="102"/>
      <c r="N53" s="102"/>
      <c r="O53" s="103"/>
      <c r="P53" s="103"/>
      <c r="Q53" s="103"/>
      <c r="R53" s="103"/>
      <c r="S53" s="103"/>
      <c r="T53" s="102"/>
      <c r="U53" s="102"/>
      <c r="V53" s="102"/>
      <c r="W53" s="102"/>
      <c r="X53" s="104"/>
      <c r="Y53" s="105"/>
      <c r="Z53" s="102"/>
      <c r="AA53" s="102"/>
      <c r="AB53" s="102"/>
      <c r="AC53" s="102"/>
      <c r="AD53" s="106"/>
      <c r="AE53" s="106"/>
      <c r="AF53" s="106"/>
      <c r="AG53" s="106"/>
      <c r="AH53" s="106"/>
      <c r="AI53" s="102"/>
      <c r="AJ53" s="102"/>
      <c r="AK53" s="102"/>
      <c r="AL53" s="102"/>
      <c r="AM53" s="104"/>
      <c r="AN53" s="105"/>
      <c r="AO53" s="102"/>
      <c r="AP53" s="102"/>
      <c r="AQ53" s="102"/>
      <c r="AR53" s="102"/>
      <c r="AS53" s="107"/>
      <c r="AT53" s="107"/>
      <c r="AU53" s="107"/>
      <c r="AV53" s="107"/>
      <c r="AW53" s="107"/>
      <c r="AX53" s="102"/>
      <c r="AY53" s="102"/>
      <c r="AZ53" s="102"/>
      <c r="BA53" s="102"/>
      <c r="BB53" s="104"/>
      <c r="BC53" s="105"/>
      <c r="BD53" s="102"/>
      <c r="BE53" s="102"/>
      <c r="BF53" s="102"/>
      <c r="BG53" s="102"/>
      <c r="BH53" s="108"/>
      <c r="BI53" s="108"/>
      <c r="BJ53" s="108"/>
      <c r="BK53" s="108"/>
      <c r="BL53" s="108"/>
      <c r="BM53" s="102"/>
      <c r="BN53" s="102"/>
      <c r="BO53" s="102"/>
      <c r="BP53" s="102"/>
      <c r="BQ53" s="109"/>
      <c r="BR53" s="14"/>
    </row>
    <row r="54" ht="15.75" customHeight="1">
      <c r="B54" s="81"/>
      <c r="C54" s="139" t="s">
        <v>107</v>
      </c>
      <c r="D54" s="83"/>
      <c r="E54" s="84"/>
      <c r="F54" s="85"/>
      <c r="G54" s="86" t="str">
        <f>IF(F54-E54=0,"",F54-E54)</f>
        <v/>
      </c>
      <c r="H54" s="87"/>
      <c r="I54" s="88">
        <f>IF(H54=100%,1,0)</f>
        <v>0</v>
      </c>
      <c r="J54" s="89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1"/>
      <c r="Y54" s="92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1"/>
      <c r="AN54" s="92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1"/>
      <c r="BC54" s="92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3"/>
      <c r="BR54" s="94"/>
    </row>
    <row r="55" ht="15.75" customHeight="1">
      <c r="A55" s="125"/>
      <c r="B55" s="126"/>
      <c r="C55" s="127" t="s">
        <v>108</v>
      </c>
      <c r="D55" s="189" t="s">
        <v>75</v>
      </c>
      <c r="E55" s="155"/>
      <c r="F55" s="130"/>
      <c r="G55" s="131"/>
      <c r="H55" s="132">
        <v>1.0</v>
      </c>
      <c r="I55" s="133"/>
      <c r="J55" s="134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6"/>
      <c r="Y55" s="137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6"/>
      <c r="AN55" s="137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  <c r="BC55" s="137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28"/>
    </row>
    <row r="56" ht="15.75" customHeight="1">
      <c r="B56" s="81"/>
      <c r="C56" s="95" t="s">
        <v>109</v>
      </c>
      <c r="D56" s="171" t="s">
        <v>75</v>
      </c>
      <c r="E56" s="96"/>
      <c r="F56" s="97"/>
      <c r="G56" s="98"/>
      <c r="H56" s="99">
        <v>0.6</v>
      </c>
      <c r="I56" s="100"/>
      <c r="J56" s="101"/>
      <c r="K56" s="102"/>
      <c r="L56" s="102"/>
      <c r="M56" s="102"/>
      <c r="N56" s="102"/>
      <c r="O56" s="103"/>
      <c r="P56" s="103"/>
      <c r="Q56" s="103"/>
      <c r="R56" s="103"/>
      <c r="S56" s="103"/>
      <c r="T56" s="102"/>
      <c r="U56" s="102"/>
      <c r="V56" s="102"/>
      <c r="W56" s="102"/>
      <c r="X56" s="104"/>
      <c r="Y56" s="105"/>
      <c r="Z56" s="102"/>
      <c r="AA56" s="102"/>
      <c r="AB56" s="102"/>
      <c r="AC56" s="102"/>
      <c r="AD56" s="106"/>
      <c r="AE56" s="106"/>
      <c r="AF56" s="106"/>
      <c r="AG56" s="106"/>
      <c r="AH56" s="106"/>
      <c r="AI56" s="102"/>
      <c r="AJ56" s="102"/>
      <c r="AK56" s="102"/>
      <c r="AL56" s="102"/>
      <c r="AM56" s="104"/>
      <c r="AN56" s="105"/>
      <c r="AO56" s="102"/>
      <c r="AP56" s="102"/>
      <c r="AQ56" s="102"/>
      <c r="AR56" s="102"/>
      <c r="AS56" s="107"/>
      <c r="AT56" s="107"/>
      <c r="AU56" s="107"/>
      <c r="AV56" s="107"/>
      <c r="AW56" s="107"/>
      <c r="AX56" s="102"/>
      <c r="AY56" s="102"/>
      <c r="AZ56" s="102"/>
      <c r="BA56" s="102"/>
      <c r="BB56" s="104"/>
      <c r="BC56" s="105"/>
      <c r="BD56" s="102"/>
      <c r="BE56" s="102"/>
      <c r="BF56" s="102"/>
      <c r="BG56" s="102"/>
      <c r="BH56" s="108"/>
      <c r="BI56" s="108"/>
      <c r="BJ56" s="108"/>
      <c r="BK56" s="108"/>
      <c r="BL56" s="108"/>
      <c r="BM56" s="102"/>
      <c r="BN56" s="102"/>
      <c r="BO56" s="102"/>
      <c r="BP56" s="102"/>
      <c r="BQ56" s="109"/>
      <c r="BR56" s="14"/>
    </row>
    <row r="57" ht="15.75" customHeight="1">
      <c r="B57" s="81"/>
      <c r="C57" s="139" t="s">
        <v>110</v>
      </c>
      <c r="D57" s="83"/>
      <c r="E57" s="84"/>
      <c r="F57" s="85"/>
      <c r="G57" s="86" t="str">
        <f>IF(F57-E57=0,"",F57-E57)</f>
        <v/>
      </c>
      <c r="H57" s="87"/>
      <c r="I57" s="88">
        <f>IF(H57=100%,1,0)</f>
        <v>0</v>
      </c>
      <c r="J57" s="89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1"/>
      <c r="Y57" s="92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1"/>
      <c r="AN57" s="92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1"/>
      <c r="BC57" s="92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3"/>
      <c r="BR57" s="94"/>
    </row>
    <row r="58" ht="15.75" customHeight="1">
      <c r="A58" s="140"/>
      <c r="B58" s="141"/>
      <c r="C58" s="142" t="s">
        <v>111</v>
      </c>
      <c r="D58" s="163" t="s">
        <v>75</v>
      </c>
      <c r="E58" s="144"/>
      <c r="F58" s="145"/>
      <c r="G58" s="146"/>
      <c r="H58" s="147">
        <v>1.0</v>
      </c>
      <c r="I58" s="148"/>
      <c r="J58" s="149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1"/>
      <c r="Y58" s="152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1"/>
      <c r="AN58" s="152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1"/>
      <c r="BC58" s="152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3"/>
      <c r="BR58" s="143"/>
    </row>
    <row r="59" ht="15.75" customHeight="1">
      <c r="B59" s="81"/>
      <c r="C59" s="95" t="s">
        <v>112</v>
      </c>
      <c r="D59" s="14" t="s">
        <v>88</v>
      </c>
      <c r="E59" s="96"/>
      <c r="F59" s="97"/>
      <c r="G59" s="98"/>
      <c r="H59" s="99">
        <v>0.6</v>
      </c>
      <c r="I59" s="100"/>
      <c r="J59" s="101"/>
      <c r="K59" s="102"/>
      <c r="L59" s="102"/>
      <c r="M59" s="102"/>
      <c r="N59" s="102"/>
      <c r="O59" s="103"/>
      <c r="P59" s="103"/>
      <c r="Q59" s="103"/>
      <c r="R59" s="103"/>
      <c r="S59" s="103"/>
      <c r="T59" s="102"/>
      <c r="U59" s="102"/>
      <c r="V59" s="102"/>
      <c r="W59" s="102"/>
      <c r="X59" s="104"/>
      <c r="Y59" s="105"/>
      <c r="Z59" s="102"/>
      <c r="AA59" s="102"/>
      <c r="AB59" s="102"/>
      <c r="AC59" s="102"/>
      <c r="AD59" s="106"/>
      <c r="AE59" s="106"/>
      <c r="AF59" s="106"/>
      <c r="AG59" s="106"/>
      <c r="AH59" s="106"/>
      <c r="AI59" s="102"/>
      <c r="AJ59" s="102"/>
      <c r="AK59" s="102"/>
      <c r="AL59" s="102"/>
      <c r="AM59" s="104"/>
      <c r="AN59" s="105"/>
      <c r="AO59" s="102"/>
      <c r="AP59" s="102"/>
      <c r="AQ59" s="102"/>
      <c r="AR59" s="102"/>
      <c r="AS59" s="107"/>
      <c r="AT59" s="107"/>
      <c r="AU59" s="107"/>
      <c r="AV59" s="107"/>
      <c r="AW59" s="107"/>
      <c r="AX59" s="102"/>
      <c r="AY59" s="102"/>
      <c r="AZ59" s="102"/>
      <c r="BA59" s="102"/>
      <c r="BB59" s="104"/>
      <c r="BC59" s="105"/>
      <c r="BD59" s="102"/>
      <c r="BE59" s="102"/>
      <c r="BF59" s="102"/>
      <c r="BG59" s="102"/>
      <c r="BH59" s="108"/>
      <c r="BI59" s="108"/>
      <c r="BJ59" s="108"/>
      <c r="BK59" s="108"/>
      <c r="BL59" s="108"/>
      <c r="BM59" s="102"/>
      <c r="BN59" s="102"/>
      <c r="BO59" s="102"/>
      <c r="BP59" s="102"/>
      <c r="BQ59" s="109"/>
      <c r="BR59" s="14"/>
    </row>
    <row r="60" ht="15.75" customHeight="1">
      <c r="B60" s="81"/>
      <c r="C60" s="95" t="s">
        <v>113</v>
      </c>
      <c r="D60" s="14" t="s">
        <v>88</v>
      </c>
      <c r="E60" s="96"/>
      <c r="F60" s="97"/>
      <c r="G60" s="98" t="str">
        <f t="shared" ref="G60:G61" si="6">IF(F60-E60=0,"",F60-E60)</f>
        <v/>
      </c>
      <c r="H60" s="99">
        <v>0.6</v>
      </c>
      <c r="I60" s="100">
        <f t="shared" ref="I60:I61" si="7">IF(H60=100%,1,0)</f>
        <v>0</v>
      </c>
      <c r="J60" s="101"/>
      <c r="K60" s="102"/>
      <c r="L60" s="102"/>
      <c r="M60" s="102"/>
      <c r="N60" s="102"/>
      <c r="O60" s="103"/>
      <c r="P60" s="103"/>
      <c r="Q60" s="103"/>
      <c r="R60" s="103"/>
      <c r="S60" s="103"/>
      <c r="T60" s="102"/>
      <c r="U60" s="102"/>
      <c r="V60" s="102"/>
      <c r="W60" s="102"/>
      <c r="X60" s="104"/>
      <c r="Y60" s="105"/>
      <c r="Z60" s="102"/>
      <c r="AA60" s="102"/>
      <c r="AB60" s="102"/>
      <c r="AC60" s="102"/>
      <c r="AD60" s="106"/>
      <c r="AE60" s="106"/>
      <c r="AF60" s="106"/>
      <c r="AG60" s="106"/>
      <c r="AH60" s="106"/>
      <c r="AI60" s="102"/>
      <c r="AJ60" s="102"/>
      <c r="AK60" s="102"/>
      <c r="AL60" s="102"/>
      <c r="AM60" s="104"/>
      <c r="AN60" s="105"/>
      <c r="AO60" s="102"/>
      <c r="AP60" s="102"/>
      <c r="AQ60" s="102"/>
      <c r="AR60" s="102"/>
      <c r="AS60" s="107"/>
      <c r="AT60" s="107"/>
      <c r="AU60" s="107"/>
      <c r="AV60" s="107"/>
      <c r="AW60" s="107"/>
      <c r="AX60" s="102"/>
      <c r="AY60" s="102"/>
      <c r="AZ60" s="102"/>
      <c r="BA60" s="102"/>
      <c r="BB60" s="104"/>
      <c r="BC60" s="105"/>
      <c r="BD60" s="102"/>
      <c r="BE60" s="102"/>
      <c r="BF60" s="102"/>
      <c r="BG60" s="102"/>
      <c r="BH60" s="108"/>
      <c r="BI60" s="108"/>
      <c r="BJ60" s="108"/>
      <c r="BK60" s="108"/>
      <c r="BL60" s="108"/>
      <c r="BM60" s="102"/>
      <c r="BN60" s="102"/>
      <c r="BO60" s="102"/>
      <c r="BP60" s="102"/>
      <c r="BQ60" s="109"/>
      <c r="BR60" s="14"/>
    </row>
    <row r="61" ht="15.75" customHeight="1">
      <c r="B61" s="81"/>
      <c r="C61" s="139" t="s">
        <v>114</v>
      </c>
      <c r="D61" s="83"/>
      <c r="E61" s="84"/>
      <c r="F61" s="85"/>
      <c r="G61" s="86" t="str">
        <f t="shared" si="6"/>
        <v/>
      </c>
      <c r="H61" s="87"/>
      <c r="I61" s="88">
        <f t="shared" si="7"/>
        <v>0</v>
      </c>
      <c r="J61" s="89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1"/>
      <c r="Y61" s="92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1"/>
      <c r="AN61" s="92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1"/>
      <c r="BC61" s="92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3"/>
      <c r="BR61" s="94"/>
    </row>
    <row r="62" ht="15.75" customHeight="1">
      <c r="B62" s="81"/>
      <c r="C62" s="95" t="s">
        <v>115</v>
      </c>
      <c r="D62" s="171" t="s">
        <v>75</v>
      </c>
      <c r="E62" s="96"/>
      <c r="F62" s="97"/>
      <c r="G62" s="98"/>
      <c r="H62" s="99">
        <v>0.3</v>
      </c>
      <c r="I62" s="100"/>
      <c r="J62" s="101"/>
      <c r="K62" s="102"/>
      <c r="L62" s="102"/>
      <c r="M62" s="102"/>
      <c r="N62" s="102"/>
      <c r="O62" s="103"/>
      <c r="P62" s="103"/>
      <c r="Q62" s="103"/>
      <c r="R62" s="103"/>
      <c r="S62" s="103"/>
      <c r="T62" s="102"/>
      <c r="U62" s="102"/>
      <c r="V62" s="102"/>
      <c r="W62" s="102"/>
      <c r="X62" s="104"/>
      <c r="Y62" s="105"/>
      <c r="Z62" s="102"/>
      <c r="AA62" s="102"/>
      <c r="AB62" s="102"/>
      <c r="AC62" s="102"/>
      <c r="AD62" s="106"/>
      <c r="AE62" s="106"/>
      <c r="AF62" s="106"/>
      <c r="AG62" s="106"/>
      <c r="AH62" s="106"/>
      <c r="AI62" s="102"/>
      <c r="AJ62" s="102"/>
      <c r="AK62" s="102"/>
      <c r="AL62" s="102"/>
      <c r="AM62" s="104"/>
      <c r="AN62" s="105"/>
      <c r="AO62" s="102"/>
      <c r="AP62" s="102"/>
      <c r="AQ62" s="102"/>
      <c r="AR62" s="102"/>
      <c r="AS62" s="107"/>
      <c r="AT62" s="107"/>
      <c r="AU62" s="107"/>
      <c r="AV62" s="107"/>
      <c r="AW62" s="107"/>
      <c r="AX62" s="102"/>
      <c r="AY62" s="102"/>
      <c r="AZ62" s="102"/>
      <c r="BA62" s="102"/>
      <c r="BB62" s="104"/>
      <c r="BC62" s="105"/>
      <c r="BD62" s="102"/>
      <c r="BE62" s="102"/>
      <c r="BF62" s="102"/>
      <c r="BG62" s="102"/>
      <c r="BH62" s="108"/>
      <c r="BI62" s="108"/>
      <c r="BJ62" s="108"/>
      <c r="BK62" s="108"/>
      <c r="BL62" s="108"/>
      <c r="BM62" s="102"/>
      <c r="BN62" s="102"/>
      <c r="BO62" s="102"/>
      <c r="BP62" s="102"/>
      <c r="BQ62" s="109"/>
      <c r="BR62" s="14"/>
    </row>
    <row r="63" ht="15.75" customHeight="1">
      <c r="A63" s="140"/>
      <c r="B63" s="141"/>
      <c r="C63" s="142" t="s">
        <v>116</v>
      </c>
      <c r="D63" s="163" t="s">
        <v>75</v>
      </c>
      <c r="E63" s="144"/>
      <c r="F63" s="145"/>
      <c r="G63" s="146"/>
      <c r="H63" s="147">
        <v>1.0</v>
      </c>
      <c r="I63" s="148"/>
      <c r="J63" s="149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1"/>
      <c r="Y63" s="152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1"/>
      <c r="AN63" s="152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1"/>
      <c r="BC63" s="152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50"/>
      <c r="BP63" s="150"/>
      <c r="BQ63" s="153"/>
      <c r="BR63" s="143"/>
    </row>
    <row r="64" ht="15.75" customHeight="1">
      <c r="B64" s="81"/>
      <c r="C64" s="95" t="s">
        <v>117</v>
      </c>
      <c r="D64" s="171" t="s">
        <v>75</v>
      </c>
      <c r="E64" s="96"/>
      <c r="F64" s="97"/>
      <c r="G64" s="98"/>
      <c r="H64" s="99">
        <v>0.0</v>
      </c>
      <c r="I64" s="100"/>
      <c r="J64" s="101"/>
      <c r="K64" s="102"/>
      <c r="L64" s="102"/>
      <c r="M64" s="102"/>
      <c r="N64" s="102"/>
      <c r="O64" s="103"/>
      <c r="P64" s="103"/>
      <c r="Q64" s="103"/>
      <c r="R64" s="103"/>
      <c r="S64" s="103"/>
      <c r="T64" s="102"/>
      <c r="U64" s="102"/>
      <c r="V64" s="102"/>
      <c r="W64" s="102"/>
      <c r="X64" s="104"/>
      <c r="Y64" s="105"/>
      <c r="Z64" s="102"/>
      <c r="AA64" s="102"/>
      <c r="AB64" s="102"/>
      <c r="AC64" s="102"/>
      <c r="AD64" s="106"/>
      <c r="AE64" s="106"/>
      <c r="AF64" s="106"/>
      <c r="AG64" s="106"/>
      <c r="AH64" s="106"/>
      <c r="AI64" s="102"/>
      <c r="AJ64" s="102"/>
      <c r="AK64" s="102"/>
      <c r="AL64" s="102"/>
      <c r="AM64" s="104"/>
      <c r="AN64" s="105"/>
      <c r="AO64" s="102"/>
      <c r="AP64" s="102"/>
      <c r="AQ64" s="102"/>
      <c r="AR64" s="102"/>
      <c r="AS64" s="107"/>
      <c r="AT64" s="107"/>
      <c r="AU64" s="107"/>
      <c r="AV64" s="107"/>
      <c r="AW64" s="107"/>
      <c r="AX64" s="102"/>
      <c r="AY64" s="102"/>
      <c r="AZ64" s="102"/>
      <c r="BA64" s="102"/>
      <c r="BB64" s="104"/>
      <c r="BC64" s="105"/>
      <c r="BD64" s="102"/>
      <c r="BE64" s="102"/>
      <c r="BF64" s="102"/>
      <c r="BG64" s="102"/>
      <c r="BH64" s="108"/>
      <c r="BI64" s="108"/>
      <c r="BJ64" s="108"/>
      <c r="BK64" s="108"/>
      <c r="BL64" s="108"/>
      <c r="BM64" s="102"/>
      <c r="BN64" s="102"/>
      <c r="BO64" s="102"/>
      <c r="BP64" s="102"/>
      <c r="BQ64" s="109"/>
      <c r="BR64" s="14"/>
    </row>
    <row r="65" ht="15.75" customHeight="1">
      <c r="B65" s="81"/>
      <c r="C65" s="139" t="s">
        <v>118</v>
      </c>
      <c r="D65" s="83"/>
      <c r="E65" s="84"/>
      <c r="F65" s="85"/>
      <c r="G65" s="86" t="str">
        <f>IF(F65-E65=0,"",F65-E65)</f>
        <v/>
      </c>
      <c r="H65" s="87"/>
      <c r="I65" s="88">
        <f>IF(H65=100%,1,0)</f>
        <v>0</v>
      </c>
      <c r="J65" s="89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1"/>
      <c r="Y65" s="92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1"/>
      <c r="AN65" s="92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1"/>
      <c r="BC65" s="92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3"/>
      <c r="BR65" s="94"/>
    </row>
    <row r="66" ht="15.75" customHeight="1">
      <c r="B66" s="81"/>
      <c r="C66" s="95" t="s">
        <v>119</v>
      </c>
      <c r="D66" s="14" t="s">
        <v>58</v>
      </c>
      <c r="E66" s="96"/>
      <c r="F66" s="97"/>
      <c r="G66" s="98"/>
      <c r="H66" s="99">
        <v>0.0</v>
      </c>
      <c r="I66" s="100"/>
      <c r="J66" s="101"/>
      <c r="K66" s="102"/>
      <c r="L66" s="102"/>
      <c r="M66" s="102"/>
      <c r="N66" s="102"/>
      <c r="O66" s="103"/>
      <c r="P66" s="103"/>
      <c r="Q66" s="103"/>
      <c r="R66" s="103"/>
      <c r="S66" s="103"/>
      <c r="T66" s="102"/>
      <c r="U66" s="102"/>
      <c r="V66" s="102"/>
      <c r="W66" s="102"/>
      <c r="X66" s="104"/>
      <c r="Y66" s="105"/>
      <c r="Z66" s="102"/>
      <c r="AA66" s="102"/>
      <c r="AB66" s="102"/>
      <c r="AC66" s="102"/>
      <c r="AD66" s="106"/>
      <c r="AE66" s="106"/>
      <c r="AF66" s="106"/>
      <c r="AG66" s="106"/>
      <c r="AH66" s="106"/>
      <c r="AI66" s="102"/>
      <c r="AJ66" s="102"/>
      <c r="AK66" s="102"/>
      <c r="AL66" s="102"/>
      <c r="AM66" s="104"/>
      <c r="AN66" s="105"/>
      <c r="AO66" s="102"/>
      <c r="AP66" s="102"/>
      <c r="AQ66" s="102"/>
      <c r="AR66" s="102"/>
      <c r="AS66" s="107"/>
      <c r="AT66" s="107"/>
      <c r="AU66" s="107"/>
      <c r="AV66" s="107"/>
      <c r="AW66" s="107"/>
      <c r="AX66" s="102"/>
      <c r="AY66" s="102"/>
      <c r="AZ66" s="102"/>
      <c r="BA66" s="102"/>
      <c r="BB66" s="104"/>
      <c r="BC66" s="105"/>
      <c r="BD66" s="102"/>
      <c r="BE66" s="102"/>
      <c r="BF66" s="102"/>
      <c r="BG66" s="102"/>
      <c r="BH66" s="108"/>
      <c r="BI66" s="108"/>
      <c r="BJ66" s="108"/>
      <c r="BK66" s="108"/>
      <c r="BL66" s="108"/>
      <c r="BM66" s="102"/>
      <c r="BN66" s="102"/>
      <c r="BO66" s="102"/>
      <c r="BP66" s="102"/>
      <c r="BQ66" s="109"/>
      <c r="BR66" s="14"/>
    </row>
    <row r="67" ht="15.75" customHeight="1">
      <c r="A67" s="81"/>
      <c r="B67" s="81"/>
      <c r="C67" s="156" t="s">
        <v>120</v>
      </c>
      <c r="D67" s="83"/>
      <c r="E67" s="84"/>
      <c r="F67" s="85"/>
      <c r="G67" s="86" t="str">
        <f t="shared" ref="G67:G68" si="8">IF(F67-E67=0,"",F67-E67)</f>
        <v/>
      </c>
      <c r="H67" s="87"/>
      <c r="I67" s="88">
        <f t="shared" ref="I67:I68" si="9">IF(H67=100%,1,0)</f>
        <v>0</v>
      </c>
      <c r="J67" s="89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1"/>
      <c r="Y67" s="92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1"/>
      <c r="AN67" s="92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1"/>
      <c r="BC67" s="92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3"/>
      <c r="BR67" s="94"/>
    </row>
    <row r="68" ht="15.75" customHeight="1">
      <c r="B68" s="81"/>
      <c r="C68" s="139" t="s">
        <v>121</v>
      </c>
      <c r="D68" s="83"/>
      <c r="E68" s="84"/>
      <c r="F68" s="85"/>
      <c r="G68" s="86" t="str">
        <f t="shared" si="8"/>
        <v/>
      </c>
      <c r="H68" s="87"/>
      <c r="I68" s="88">
        <f t="shared" si="9"/>
        <v>0</v>
      </c>
      <c r="J68" s="89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1"/>
      <c r="Y68" s="92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1"/>
      <c r="AN68" s="92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1"/>
      <c r="BC68" s="92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3"/>
      <c r="BR68" s="94"/>
    </row>
    <row r="69" ht="15.75" customHeight="1">
      <c r="B69" s="81"/>
      <c r="C69" s="95" t="s">
        <v>122</v>
      </c>
      <c r="D69" s="171" t="s">
        <v>75</v>
      </c>
      <c r="E69" s="96"/>
      <c r="F69" s="97"/>
      <c r="G69" s="98"/>
      <c r="H69" s="99">
        <v>0.3</v>
      </c>
      <c r="I69" s="100"/>
      <c r="J69" s="101"/>
      <c r="K69" s="102"/>
      <c r="L69" s="102"/>
      <c r="M69" s="102"/>
      <c r="N69" s="102"/>
      <c r="O69" s="103"/>
      <c r="P69" s="103"/>
      <c r="Q69" s="103"/>
      <c r="R69" s="103"/>
      <c r="S69" s="103"/>
      <c r="T69" s="102"/>
      <c r="U69" s="102"/>
      <c r="V69" s="102"/>
      <c r="W69" s="102"/>
      <c r="X69" s="104"/>
      <c r="Y69" s="105"/>
      <c r="Z69" s="102"/>
      <c r="AA69" s="102"/>
      <c r="AB69" s="102"/>
      <c r="AC69" s="102"/>
      <c r="AD69" s="106"/>
      <c r="AE69" s="106"/>
      <c r="AF69" s="106"/>
      <c r="AG69" s="106"/>
      <c r="AH69" s="106"/>
      <c r="AI69" s="102"/>
      <c r="AJ69" s="102"/>
      <c r="AK69" s="102"/>
      <c r="AL69" s="102"/>
      <c r="AM69" s="104"/>
      <c r="AN69" s="105"/>
      <c r="AO69" s="102"/>
      <c r="AP69" s="102"/>
      <c r="AQ69" s="102"/>
      <c r="AR69" s="102"/>
      <c r="AS69" s="107"/>
      <c r="AT69" s="107"/>
      <c r="AU69" s="107"/>
      <c r="AV69" s="107"/>
      <c r="AW69" s="107"/>
      <c r="AX69" s="102"/>
      <c r="AY69" s="102"/>
      <c r="AZ69" s="102"/>
      <c r="BA69" s="102"/>
      <c r="BB69" s="104"/>
      <c r="BC69" s="105"/>
      <c r="BD69" s="102"/>
      <c r="BE69" s="102"/>
      <c r="BF69" s="102"/>
      <c r="BG69" s="102"/>
      <c r="BH69" s="108"/>
      <c r="BI69" s="108"/>
      <c r="BJ69" s="108"/>
      <c r="BK69" s="108"/>
      <c r="BL69" s="108"/>
      <c r="BM69" s="102"/>
      <c r="BN69" s="102"/>
      <c r="BO69" s="102"/>
      <c r="BP69" s="102"/>
      <c r="BQ69" s="109"/>
      <c r="BR69" s="14"/>
    </row>
    <row r="70" ht="15.75" customHeight="1">
      <c r="B70" s="81"/>
      <c r="C70" s="95" t="s">
        <v>123</v>
      </c>
      <c r="D70" s="171" t="s">
        <v>75</v>
      </c>
      <c r="E70" s="96"/>
      <c r="F70" s="97"/>
      <c r="G70" s="98"/>
      <c r="H70" s="99">
        <v>0.6</v>
      </c>
      <c r="I70" s="100"/>
      <c r="J70" s="101"/>
      <c r="K70" s="102"/>
      <c r="L70" s="102"/>
      <c r="M70" s="102"/>
      <c r="N70" s="102"/>
      <c r="O70" s="103"/>
      <c r="P70" s="103"/>
      <c r="Q70" s="103"/>
      <c r="R70" s="103"/>
      <c r="S70" s="103"/>
      <c r="T70" s="102"/>
      <c r="U70" s="102"/>
      <c r="V70" s="102"/>
      <c r="W70" s="102"/>
      <c r="X70" s="104"/>
      <c r="Y70" s="105"/>
      <c r="Z70" s="102"/>
      <c r="AA70" s="102"/>
      <c r="AB70" s="102"/>
      <c r="AC70" s="102"/>
      <c r="AD70" s="106"/>
      <c r="AE70" s="106"/>
      <c r="AF70" s="106"/>
      <c r="AG70" s="106"/>
      <c r="AH70" s="106"/>
      <c r="AI70" s="102"/>
      <c r="AJ70" s="102"/>
      <c r="AK70" s="102"/>
      <c r="AL70" s="102"/>
      <c r="AM70" s="104"/>
      <c r="AN70" s="105"/>
      <c r="AO70" s="102"/>
      <c r="AP70" s="102"/>
      <c r="AQ70" s="102"/>
      <c r="AR70" s="102"/>
      <c r="AS70" s="107"/>
      <c r="AT70" s="107"/>
      <c r="AU70" s="107"/>
      <c r="AV70" s="107"/>
      <c r="AW70" s="107"/>
      <c r="AX70" s="102"/>
      <c r="AY70" s="102"/>
      <c r="AZ70" s="102"/>
      <c r="BA70" s="102"/>
      <c r="BB70" s="104"/>
      <c r="BC70" s="105"/>
      <c r="BD70" s="102"/>
      <c r="BE70" s="102"/>
      <c r="BF70" s="102"/>
      <c r="BG70" s="102"/>
      <c r="BH70" s="108"/>
      <c r="BI70" s="108"/>
      <c r="BJ70" s="108"/>
      <c r="BK70" s="108"/>
      <c r="BL70" s="108"/>
      <c r="BM70" s="102"/>
      <c r="BN70" s="102"/>
      <c r="BO70" s="102"/>
      <c r="BP70" s="102"/>
      <c r="BQ70" s="109"/>
      <c r="BR70" s="14"/>
    </row>
    <row r="71" ht="15.75" customHeight="1">
      <c r="B71" s="81"/>
      <c r="C71" s="95" t="s">
        <v>124</v>
      </c>
      <c r="D71" s="171" t="s">
        <v>75</v>
      </c>
      <c r="E71" s="96"/>
      <c r="F71" s="97"/>
      <c r="G71" s="98"/>
      <c r="H71" s="99">
        <v>0.7</v>
      </c>
      <c r="I71" s="100"/>
      <c r="J71" s="101"/>
      <c r="K71" s="102"/>
      <c r="L71" s="102"/>
      <c r="M71" s="102"/>
      <c r="N71" s="102"/>
      <c r="O71" s="103"/>
      <c r="P71" s="103"/>
      <c r="Q71" s="103"/>
      <c r="R71" s="103"/>
      <c r="S71" s="103"/>
      <c r="T71" s="102"/>
      <c r="U71" s="102"/>
      <c r="V71" s="102"/>
      <c r="W71" s="102"/>
      <c r="X71" s="104"/>
      <c r="Y71" s="105"/>
      <c r="Z71" s="102"/>
      <c r="AA71" s="102"/>
      <c r="AB71" s="102"/>
      <c r="AC71" s="102"/>
      <c r="AD71" s="106"/>
      <c r="AE71" s="106"/>
      <c r="AF71" s="106"/>
      <c r="AG71" s="106"/>
      <c r="AH71" s="106"/>
      <c r="AI71" s="102"/>
      <c r="AJ71" s="102"/>
      <c r="AK71" s="102"/>
      <c r="AL71" s="102"/>
      <c r="AM71" s="104"/>
      <c r="AN71" s="105"/>
      <c r="AO71" s="102"/>
      <c r="AP71" s="102"/>
      <c r="AQ71" s="102"/>
      <c r="AR71" s="102"/>
      <c r="AS71" s="107"/>
      <c r="AT71" s="107"/>
      <c r="AU71" s="107"/>
      <c r="AV71" s="107"/>
      <c r="AW71" s="107"/>
      <c r="AX71" s="102"/>
      <c r="AY71" s="102"/>
      <c r="AZ71" s="102"/>
      <c r="BA71" s="102"/>
      <c r="BB71" s="104"/>
      <c r="BC71" s="105"/>
      <c r="BD71" s="102"/>
      <c r="BE71" s="102"/>
      <c r="BF71" s="102"/>
      <c r="BG71" s="102"/>
      <c r="BH71" s="108"/>
      <c r="BI71" s="108"/>
      <c r="BJ71" s="108"/>
      <c r="BK71" s="108"/>
      <c r="BL71" s="108"/>
      <c r="BM71" s="102"/>
      <c r="BN71" s="102"/>
      <c r="BO71" s="102"/>
      <c r="BP71" s="102"/>
      <c r="BQ71" s="109"/>
      <c r="BR71" s="14"/>
    </row>
    <row r="72" ht="15.75" customHeight="1">
      <c r="B72" s="81"/>
      <c r="C72" s="139" t="s">
        <v>125</v>
      </c>
      <c r="D72" s="83"/>
      <c r="E72" s="84"/>
      <c r="F72" s="85"/>
      <c r="G72" s="86" t="str">
        <f>IF(F72-E72=0,"",F72-E72)</f>
        <v/>
      </c>
      <c r="H72" s="87"/>
      <c r="I72" s="88">
        <f>IF(H72=100%,1,0)</f>
        <v>0</v>
      </c>
      <c r="J72" s="89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1"/>
      <c r="Y72" s="92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1"/>
      <c r="AN72" s="92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1"/>
      <c r="BC72" s="92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3"/>
      <c r="BR72" s="94"/>
    </row>
    <row r="73" ht="15.75" customHeight="1">
      <c r="A73" s="140"/>
      <c r="B73" s="141"/>
      <c r="C73" s="142" t="s">
        <v>126</v>
      </c>
      <c r="D73" s="163" t="s">
        <v>75</v>
      </c>
      <c r="E73" s="144"/>
      <c r="F73" s="145"/>
      <c r="G73" s="146"/>
      <c r="H73" s="147">
        <v>1.0</v>
      </c>
      <c r="I73" s="148"/>
      <c r="J73" s="149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1"/>
      <c r="Y73" s="152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1"/>
      <c r="AN73" s="152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1"/>
      <c r="BC73" s="152"/>
      <c r="BD73" s="150"/>
      <c r="BE73" s="150"/>
      <c r="BF73" s="150"/>
      <c r="BG73" s="150"/>
      <c r="BH73" s="150"/>
      <c r="BI73" s="150"/>
      <c r="BJ73" s="150"/>
      <c r="BK73" s="150"/>
      <c r="BL73" s="150"/>
      <c r="BM73" s="150"/>
      <c r="BN73" s="150"/>
      <c r="BO73" s="150"/>
      <c r="BP73" s="150"/>
      <c r="BQ73" s="153"/>
      <c r="BR73" s="143"/>
    </row>
    <row r="74" ht="15.75" customHeight="1">
      <c r="A74" s="125"/>
      <c r="B74" s="126"/>
      <c r="C74" s="127" t="s">
        <v>127</v>
      </c>
      <c r="D74" s="189" t="s">
        <v>75</v>
      </c>
      <c r="E74" s="155"/>
      <c r="F74" s="130"/>
      <c r="G74" s="131"/>
      <c r="H74" s="132">
        <v>0.4</v>
      </c>
      <c r="I74" s="133"/>
      <c r="J74" s="134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6"/>
      <c r="Y74" s="137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6"/>
      <c r="AN74" s="137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6"/>
      <c r="BC74" s="137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  <c r="BP74" s="135"/>
      <c r="BQ74" s="138"/>
      <c r="BR74" s="128"/>
    </row>
    <row r="75" ht="15.75" customHeight="1">
      <c r="A75" s="140"/>
      <c r="B75" s="141"/>
      <c r="C75" s="142" t="s">
        <v>128</v>
      </c>
      <c r="D75" s="163" t="s">
        <v>75</v>
      </c>
      <c r="E75" s="144"/>
      <c r="F75" s="145"/>
      <c r="G75" s="146"/>
      <c r="H75" s="147">
        <v>1.0</v>
      </c>
      <c r="I75" s="148"/>
      <c r="J75" s="149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1"/>
      <c r="Y75" s="152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1"/>
      <c r="AN75" s="152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1"/>
      <c r="BC75" s="152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3"/>
      <c r="BR75" s="143"/>
    </row>
    <row r="76" ht="15.75" customHeight="1">
      <c r="B76" s="81"/>
      <c r="C76" s="139" t="s">
        <v>129</v>
      </c>
      <c r="D76" s="83"/>
      <c r="E76" s="84"/>
      <c r="F76" s="85"/>
      <c r="G76" s="86" t="str">
        <f>IF(F76-E76=0,"",F76-E76)</f>
        <v/>
      </c>
      <c r="H76" s="87"/>
      <c r="I76" s="88">
        <f>IF(H76=100%,1,0)</f>
        <v>0</v>
      </c>
      <c r="J76" s="89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1"/>
      <c r="Y76" s="92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1"/>
      <c r="AN76" s="92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1"/>
      <c r="BC76" s="92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3"/>
      <c r="BR76" s="94"/>
    </row>
    <row r="77" ht="15.75" customHeight="1">
      <c r="B77" s="81"/>
      <c r="C77" s="95" t="s">
        <v>130</v>
      </c>
      <c r="D77" s="171" t="s">
        <v>75</v>
      </c>
      <c r="E77" s="96"/>
      <c r="F77" s="97"/>
      <c r="G77" s="98"/>
      <c r="H77" s="99">
        <v>0.6</v>
      </c>
      <c r="I77" s="100"/>
      <c r="J77" s="101"/>
      <c r="K77" s="102"/>
      <c r="L77" s="102"/>
      <c r="M77" s="102"/>
      <c r="N77" s="102"/>
      <c r="O77" s="103"/>
      <c r="P77" s="103"/>
      <c r="Q77" s="103"/>
      <c r="R77" s="103"/>
      <c r="S77" s="103"/>
      <c r="T77" s="102"/>
      <c r="U77" s="102"/>
      <c r="V77" s="102"/>
      <c r="W77" s="102"/>
      <c r="X77" s="104"/>
      <c r="Y77" s="105"/>
      <c r="Z77" s="102"/>
      <c r="AA77" s="102"/>
      <c r="AB77" s="102"/>
      <c r="AC77" s="102"/>
      <c r="AD77" s="106"/>
      <c r="AE77" s="106"/>
      <c r="AF77" s="106"/>
      <c r="AG77" s="106"/>
      <c r="AH77" s="106"/>
      <c r="AI77" s="102"/>
      <c r="AJ77" s="102"/>
      <c r="AK77" s="102"/>
      <c r="AL77" s="102"/>
      <c r="AM77" s="104"/>
      <c r="AN77" s="105"/>
      <c r="AO77" s="102"/>
      <c r="AP77" s="102"/>
      <c r="AQ77" s="102"/>
      <c r="AR77" s="102"/>
      <c r="AS77" s="107"/>
      <c r="AT77" s="107"/>
      <c r="AU77" s="107"/>
      <c r="AV77" s="107"/>
      <c r="AW77" s="107"/>
      <c r="AX77" s="102"/>
      <c r="AY77" s="102"/>
      <c r="AZ77" s="102"/>
      <c r="BA77" s="102"/>
      <c r="BB77" s="104"/>
      <c r="BC77" s="105"/>
      <c r="BD77" s="102"/>
      <c r="BE77" s="102"/>
      <c r="BF77" s="102"/>
      <c r="BG77" s="102"/>
      <c r="BH77" s="108"/>
      <c r="BI77" s="108"/>
      <c r="BJ77" s="108"/>
      <c r="BK77" s="108"/>
      <c r="BL77" s="108"/>
      <c r="BM77" s="102"/>
      <c r="BN77" s="102"/>
      <c r="BO77" s="102"/>
      <c r="BP77" s="102"/>
      <c r="BQ77" s="109"/>
      <c r="BR77" s="14"/>
    </row>
    <row r="78" ht="15.75" customHeight="1">
      <c r="A78" s="140"/>
      <c r="B78" s="141"/>
      <c r="C78" s="142" t="s">
        <v>131</v>
      </c>
      <c r="D78" s="163" t="s">
        <v>75</v>
      </c>
      <c r="E78" s="144"/>
      <c r="F78" s="145"/>
      <c r="G78" s="146"/>
      <c r="H78" s="147">
        <v>1.0</v>
      </c>
      <c r="I78" s="148"/>
      <c r="J78" s="149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1"/>
      <c r="Y78" s="152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1"/>
      <c r="AN78" s="152"/>
      <c r="AO78" s="150"/>
      <c r="AP78" s="150"/>
      <c r="AQ78" s="150"/>
      <c r="AR78" s="150"/>
      <c r="AS78" s="150"/>
      <c r="AT78" s="150"/>
      <c r="AU78" s="150"/>
      <c r="AV78" s="150"/>
      <c r="AW78" s="150"/>
      <c r="AX78" s="150"/>
      <c r="AY78" s="150"/>
      <c r="AZ78" s="150"/>
      <c r="BA78" s="150"/>
      <c r="BB78" s="151"/>
      <c r="BC78" s="152"/>
      <c r="BD78" s="150"/>
      <c r="BE78" s="150"/>
      <c r="BF78" s="150"/>
      <c r="BG78" s="150"/>
      <c r="BH78" s="150"/>
      <c r="BI78" s="150"/>
      <c r="BJ78" s="150"/>
      <c r="BK78" s="150"/>
      <c r="BL78" s="150"/>
      <c r="BM78" s="150"/>
      <c r="BN78" s="150"/>
      <c r="BO78" s="150"/>
      <c r="BP78" s="150"/>
      <c r="BQ78" s="153"/>
      <c r="BR78" s="143"/>
    </row>
    <row r="79" ht="15.75" customHeight="1">
      <c r="B79" s="81"/>
      <c r="C79" s="95" t="s">
        <v>132</v>
      </c>
      <c r="D79" s="171" t="s">
        <v>75</v>
      </c>
      <c r="E79" s="96"/>
      <c r="F79" s="97"/>
      <c r="G79" s="98"/>
      <c r="H79" s="99">
        <v>0.0</v>
      </c>
      <c r="I79" s="100"/>
      <c r="J79" s="101"/>
      <c r="K79" s="102"/>
      <c r="L79" s="102"/>
      <c r="M79" s="102"/>
      <c r="N79" s="102"/>
      <c r="O79" s="103"/>
      <c r="P79" s="103"/>
      <c r="Q79" s="103"/>
      <c r="R79" s="103"/>
      <c r="S79" s="103"/>
      <c r="T79" s="102"/>
      <c r="U79" s="102"/>
      <c r="V79" s="102"/>
      <c r="W79" s="102"/>
      <c r="X79" s="104"/>
      <c r="Y79" s="105"/>
      <c r="Z79" s="102"/>
      <c r="AA79" s="102"/>
      <c r="AB79" s="102"/>
      <c r="AC79" s="102"/>
      <c r="AD79" s="106"/>
      <c r="AE79" s="106"/>
      <c r="AF79" s="106"/>
      <c r="AG79" s="106"/>
      <c r="AH79" s="106"/>
      <c r="AI79" s="102"/>
      <c r="AJ79" s="102"/>
      <c r="AK79" s="102"/>
      <c r="AL79" s="102"/>
      <c r="AM79" s="104"/>
      <c r="AN79" s="105"/>
      <c r="AO79" s="102"/>
      <c r="AP79" s="102"/>
      <c r="AQ79" s="102"/>
      <c r="AR79" s="102"/>
      <c r="AS79" s="107"/>
      <c r="AT79" s="107"/>
      <c r="AU79" s="107"/>
      <c r="AV79" s="107"/>
      <c r="AW79" s="107"/>
      <c r="AX79" s="102"/>
      <c r="AY79" s="102"/>
      <c r="AZ79" s="102"/>
      <c r="BA79" s="102"/>
      <c r="BB79" s="104"/>
      <c r="BC79" s="105"/>
      <c r="BD79" s="102"/>
      <c r="BE79" s="102"/>
      <c r="BF79" s="102"/>
      <c r="BG79" s="102"/>
      <c r="BH79" s="108"/>
      <c r="BI79" s="108"/>
      <c r="BJ79" s="108"/>
      <c r="BK79" s="108"/>
      <c r="BL79" s="108"/>
      <c r="BM79" s="102"/>
      <c r="BN79" s="102"/>
      <c r="BO79" s="102"/>
      <c r="BP79" s="102"/>
      <c r="BQ79" s="109"/>
      <c r="BR79" s="14"/>
    </row>
    <row r="80" ht="15.75" customHeight="1">
      <c r="B80" s="81"/>
      <c r="C80" s="139" t="s">
        <v>133</v>
      </c>
      <c r="D80" s="83"/>
      <c r="E80" s="84"/>
      <c r="F80" s="85"/>
      <c r="G80" s="86" t="str">
        <f>IF(F80-E80=0,"",F80-E80)</f>
        <v/>
      </c>
      <c r="H80" s="87"/>
      <c r="I80" s="88">
        <f>IF(H80=100%,1,0)</f>
        <v>0</v>
      </c>
      <c r="J80" s="89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1"/>
      <c r="Y80" s="92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1"/>
      <c r="AN80" s="92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1"/>
      <c r="BC80" s="92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3"/>
      <c r="BR80" s="94"/>
    </row>
    <row r="81" ht="15.75" customHeight="1">
      <c r="B81" s="81"/>
      <c r="C81" s="95" t="s">
        <v>134</v>
      </c>
      <c r="D81" s="171" t="s">
        <v>75</v>
      </c>
      <c r="E81" s="96"/>
      <c r="F81" s="97"/>
      <c r="G81" s="98"/>
      <c r="H81" s="99">
        <v>0.7</v>
      </c>
      <c r="I81" s="100"/>
      <c r="J81" s="101"/>
      <c r="K81" s="102"/>
      <c r="L81" s="102"/>
      <c r="M81" s="102"/>
      <c r="N81" s="102"/>
      <c r="O81" s="103"/>
      <c r="P81" s="103"/>
      <c r="Q81" s="103"/>
      <c r="R81" s="103"/>
      <c r="S81" s="103"/>
      <c r="T81" s="102"/>
      <c r="U81" s="102"/>
      <c r="V81" s="102"/>
      <c r="W81" s="102"/>
      <c r="X81" s="104"/>
      <c r="Y81" s="105"/>
      <c r="Z81" s="102"/>
      <c r="AA81" s="102"/>
      <c r="AB81" s="102"/>
      <c r="AC81" s="102"/>
      <c r="AD81" s="106"/>
      <c r="AE81" s="106"/>
      <c r="AF81" s="106"/>
      <c r="AG81" s="106"/>
      <c r="AH81" s="106"/>
      <c r="AI81" s="102"/>
      <c r="AJ81" s="102"/>
      <c r="AK81" s="102"/>
      <c r="AL81" s="102"/>
      <c r="AM81" s="104"/>
      <c r="AN81" s="105"/>
      <c r="AO81" s="102"/>
      <c r="AP81" s="102"/>
      <c r="AQ81" s="102"/>
      <c r="AR81" s="102"/>
      <c r="AS81" s="107"/>
      <c r="AT81" s="107"/>
      <c r="AU81" s="107"/>
      <c r="AV81" s="107"/>
      <c r="AW81" s="107"/>
      <c r="AX81" s="102"/>
      <c r="AY81" s="102"/>
      <c r="AZ81" s="102"/>
      <c r="BA81" s="102"/>
      <c r="BB81" s="104"/>
      <c r="BC81" s="105"/>
      <c r="BD81" s="102"/>
      <c r="BE81" s="102"/>
      <c r="BF81" s="102"/>
      <c r="BG81" s="102"/>
      <c r="BH81" s="108"/>
      <c r="BI81" s="108"/>
      <c r="BJ81" s="108"/>
      <c r="BK81" s="108"/>
      <c r="BL81" s="108"/>
      <c r="BM81" s="102"/>
      <c r="BN81" s="102"/>
      <c r="BO81" s="102"/>
      <c r="BP81" s="102"/>
      <c r="BQ81" s="109"/>
      <c r="BR81" s="14"/>
    </row>
    <row r="82" ht="15.75" customHeight="1">
      <c r="B82" s="81"/>
      <c r="C82" s="95" t="s">
        <v>135</v>
      </c>
      <c r="D82" s="171" t="s">
        <v>75</v>
      </c>
      <c r="E82" s="96"/>
      <c r="F82" s="97"/>
      <c r="G82" s="98"/>
      <c r="H82" s="99">
        <v>0.7</v>
      </c>
      <c r="I82" s="100"/>
      <c r="J82" s="101"/>
      <c r="K82" s="102"/>
      <c r="L82" s="102"/>
      <c r="M82" s="102"/>
      <c r="N82" s="102"/>
      <c r="O82" s="103"/>
      <c r="P82" s="103"/>
      <c r="Q82" s="103"/>
      <c r="R82" s="103"/>
      <c r="S82" s="103"/>
      <c r="T82" s="102"/>
      <c r="U82" s="102"/>
      <c r="V82" s="102"/>
      <c r="W82" s="102"/>
      <c r="X82" s="104"/>
      <c r="Y82" s="105"/>
      <c r="Z82" s="102"/>
      <c r="AA82" s="102"/>
      <c r="AB82" s="102"/>
      <c r="AC82" s="102"/>
      <c r="AD82" s="106"/>
      <c r="AE82" s="106"/>
      <c r="AF82" s="106"/>
      <c r="AG82" s="106"/>
      <c r="AH82" s="106"/>
      <c r="AI82" s="102"/>
      <c r="AJ82" s="102"/>
      <c r="AK82" s="102"/>
      <c r="AL82" s="102"/>
      <c r="AM82" s="104"/>
      <c r="AN82" s="105"/>
      <c r="AO82" s="102"/>
      <c r="AP82" s="102"/>
      <c r="AQ82" s="102"/>
      <c r="AR82" s="102"/>
      <c r="AS82" s="107"/>
      <c r="AT82" s="107"/>
      <c r="AU82" s="107"/>
      <c r="AV82" s="107"/>
      <c r="AW82" s="107"/>
      <c r="AX82" s="102"/>
      <c r="AY82" s="102"/>
      <c r="AZ82" s="102"/>
      <c r="BA82" s="102"/>
      <c r="BB82" s="104"/>
      <c r="BC82" s="105"/>
      <c r="BD82" s="102"/>
      <c r="BE82" s="102"/>
      <c r="BF82" s="102"/>
      <c r="BG82" s="102"/>
      <c r="BH82" s="108"/>
      <c r="BI82" s="108"/>
      <c r="BJ82" s="108"/>
      <c r="BK82" s="108"/>
      <c r="BL82" s="108"/>
      <c r="BM82" s="102"/>
      <c r="BN82" s="102"/>
      <c r="BO82" s="102"/>
      <c r="BP82" s="102"/>
      <c r="BQ82" s="109"/>
      <c r="BR82" s="14"/>
    </row>
    <row r="83" ht="15.75" customHeight="1">
      <c r="B83" s="81"/>
      <c r="C83" s="95" t="s">
        <v>136</v>
      </c>
      <c r="D83" s="171" t="s">
        <v>75</v>
      </c>
      <c r="E83" s="96"/>
      <c r="F83" s="97"/>
      <c r="G83" s="98"/>
      <c r="H83" s="99">
        <v>0.7</v>
      </c>
      <c r="I83" s="100"/>
      <c r="J83" s="101"/>
      <c r="K83" s="102"/>
      <c r="L83" s="102"/>
      <c r="M83" s="102"/>
      <c r="N83" s="102"/>
      <c r="O83" s="103"/>
      <c r="P83" s="103"/>
      <c r="Q83" s="103"/>
      <c r="R83" s="103"/>
      <c r="S83" s="103"/>
      <c r="T83" s="102"/>
      <c r="U83" s="102"/>
      <c r="V83" s="102"/>
      <c r="W83" s="102"/>
      <c r="X83" s="104"/>
      <c r="Y83" s="105"/>
      <c r="Z83" s="102"/>
      <c r="AA83" s="102"/>
      <c r="AB83" s="102"/>
      <c r="AC83" s="102"/>
      <c r="AD83" s="106"/>
      <c r="AE83" s="106"/>
      <c r="AF83" s="106"/>
      <c r="AG83" s="106"/>
      <c r="AH83" s="106"/>
      <c r="AI83" s="102"/>
      <c r="AJ83" s="102"/>
      <c r="AK83" s="102"/>
      <c r="AL83" s="102"/>
      <c r="AM83" s="104"/>
      <c r="AN83" s="105"/>
      <c r="AO83" s="102"/>
      <c r="AP83" s="102"/>
      <c r="AQ83" s="102"/>
      <c r="AR83" s="102"/>
      <c r="AS83" s="107"/>
      <c r="AT83" s="107"/>
      <c r="AU83" s="107"/>
      <c r="AV83" s="107"/>
      <c r="AW83" s="107"/>
      <c r="AX83" s="102"/>
      <c r="AY83" s="102"/>
      <c r="AZ83" s="102"/>
      <c r="BA83" s="102"/>
      <c r="BB83" s="104"/>
      <c r="BC83" s="105"/>
      <c r="BD83" s="102"/>
      <c r="BE83" s="102"/>
      <c r="BF83" s="102"/>
      <c r="BG83" s="102"/>
      <c r="BH83" s="108"/>
      <c r="BI83" s="108"/>
      <c r="BJ83" s="108"/>
      <c r="BK83" s="108"/>
      <c r="BL83" s="108"/>
      <c r="BM83" s="102"/>
      <c r="BN83" s="102"/>
      <c r="BO83" s="102"/>
      <c r="BP83" s="102"/>
      <c r="BQ83" s="109"/>
      <c r="BR83" s="14"/>
    </row>
    <row r="84" ht="15.75" customHeight="1">
      <c r="B84" s="81"/>
      <c r="C84" s="139" t="s">
        <v>137</v>
      </c>
      <c r="D84" s="83"/>
      <c r="E84" s="84"/>
      <c r="F84" s="85"/>
      <c r="G84" s="86" t="str">
        <f>IF(F84-E84=0,"",F84-E84)</f>
        <v/>
      </c>
      <c r="H84" s="87"/>
      <c r="I84" s="88">
        <f>IF(H84=100%,1,0)</f>
        <v>0</v>
      </c>
      <c r="J84" s="89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1"/>
      <c r="Y84" s="92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1"/>
      <c r="AN84" s="92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1"/>
      <c r="BC84" s="92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3"/>
      <c r="BR84" s="94"/>
    </row>
    <row r="85" ht="15.75" customHeight="1">
      <c r="B85" s="81"/>
      <c r="C85" s="95" t="s">
        <v>138</v>
      </c>
      <c r="D85" s="171" t="s">
        <v>75</v>
      </c>
      <c r="E85" s="96"/>
      <c r="F85" s="97"/>
      <c r="G85" s="98"/>
      <c r="H85" s="99">
        <v>0.0</v>
      </c>
      <c r="I85" s="100"/>
      <c r="J85" s="101"/>
      <c r="K85" s="102"/>
      <c r="L85" s="102"/>
      <c r="M85" s="102"/>
      <c r="N85" s="102"/>
      <c r="O85" s="103"/>
      <c r="P85" s="103"/>
      <c r="Q85" s="103"/>
      <c r="R85" s="103"/>
      <c r="S85" s="103"/>
      <c r="T85" s="102"/>
      <c r="U85" s="102"/>
      <c r="V85" s="102"/>
      <c r="W85" s="102"/>
      <c r="X85" s="104"/>
      <c r="Y85" s="105"/>
      <c r="Z85" s="102"/>
      <c r="AA85" s="102"/>
      <c r="AB85" s="102"/>
      <c r="AC85" s="102"/>
      <c r="AD85" s="106"/>
      <c r="AE85" s="106"/>
      <c r="AF85" s="106"/>
      <c r="AG85" s="106"/>
      <c r="AH85" s="106"/>
      <c r="AI85" s="102"/>
      <c r="AJ85" s="102"/>
      <c r="AK85" s="102"/>
      <c r="AL85" s="102"/>
      <c r="AM85" s="104"/>
      <c r="AN85" s="105"/>
      <c r="AO85" s="102"/>
      <c r="AP85" s="102"/>
      <c r="AQ85" s="102"/>
      <c r="AR85" s="102"/>
      <c r="AS85" s="107"/>
      <c r="AT85" s="107"/>
      <c r="AU85" s="107"/>
      <c r="AV85" s="107"/>
      <c r="AW85" s="107"/>
      <c r="AX85" s="102"/>
      <c r="AY85" s="102"/>
      <c r="AZ85" s="102"/>
      <c r="BA85" s="102"/>
      <c r="BB85" s="104"/>
      <c r="BC85" s="105"/>
      <c r="BD85" s="102"/>
      <c r="BE85" s="102"/>
      <c r="BF85" s="102"/>
      <c r="BG85" s="102"/>
      <c r="BH85" s="108"/>
      <c r="BI85" s="108"/>
      <c r="BJ85" s="108"/>
      <c r="BK85" s="108"/>
      <c r="BL85" s="108"/>
      <c r="BM85" s="102"/>
      <c r="BN85" s="102"/>
      <c r="BO85" s="102"/>
      <c r="BP85" s="102"/>
      <c r="BQ85" s="109"/>
      <c r="BR85" s="14"/>
    </row>
    <row r="86" ht="15.75" customHeight="1">
      <c r="B86" s="81"/>
      <c r="C86" s="95" t="s">
        <v>139</v>
      </c>
      <c r="D86" s="171" t="s">
        <v>75</v>
      </c>
      <c r="E86" s="96"/>
      <c r="F86" s="97"/>
      <c r="G86" s="98"/>
      <c r="H86" s="99">
        <v>0.0</v>
      </c>
      <c r="I86" s="100"/>
      <c r="J86" s="101"/>
      <c r="K86" s="102"/>
      <c r="L86" s="102"/>
      <c r="M86" s="102"/>
      <c r="N86" s="102"/>
      <c r="O86" s="103"/>
      <c r="P86" s="103"/>
      <c r="Q86" s="103"/>
      <c r="R86" s="103"/>
      <c r="S86" s="103"/>
      <c r="T86" s="102"/>
      <c r="U86" s="102"/>
      <c r="V86" s="102"/>
      <c r="W86" s="102"/>
      <c r="X86" s="104"/>
      <c r="Y86" s="105"/>
      <c r="Z86" s="102"/>
      <c r="AA86" s="102"/>
      <c r="AB86" s="102"/>
      <c r="AC86" s="102"/>
      <c r="AD86" s="106"/>
      <c r="AE86" s="106"/>
      <c r="AF86" s="106"/>
      <c r="AG86" s="106"/>
      <c r="AH86" s="106"/>
      <c r="AI86" s="102"/>
      <c r="AJ86" s="102"/>
      <c r="AK86" s="102"/>
      <c r="AL86" s="102"/>
      <c r="AM86" s="104"/>
      <c r="AN86" s="105"/>
      <c r="AO86" s="102"/>
      <c r="AP86" s="102"/>
      <c r="AQ86" s="102"/>
      <c r="AR86" s="102"/>
      <c r="AS86" s="107"/>
      <c r="AT86" s="107"/>
      <c r="AU86" s="107"/>
      <c r="AV86" s="107"/>
      <c r="AW86" s="107"/>
      <c r="AX86" s="102"/>
      <c r="AY86" s="102"/>
      <c r="AZ86" s="102"/>
      <c r="BA86" s="102"/>
      <c r="BB86" s="104"/>
      <c r="BC86" s="105"/>
      <c r="BD86" s="102"/>
      <c r="BE86" s="102"/>
      <c r="BF86" s="102"/>
      <c r="BG86" s="102"/>
      <c r="BH86" s="108"/>
      <c r="BI86" s="108"/>
      <c r="BJ86" s="108"/>
      <c r="BK86" s="108"/>
      <c r="BL86" s="108"/>
      <c r="BM86" s="102"/>
      <c r="BN86" s="102"/>
      <c r="BO86" s="102"/>
      <c r="BP86" s="102"/>
      <c r="BQ86" s="109"/>
      <c r="BR86" s="14"/>
    </row>
    <row r="87" ht="15.75" customHeight="1">
      <c r="B87" s="81"/>
      <c r="C87" s="156" t="s">
        <v>140</v>
      </c>
      <c r="D87" s="83"/>
      <c r="E87" s="84"/>
      <c r="F87" s="85"/>
      <c r="G87" s="86" t="str">
        <f t="shared" ref="G87:G88" si="10">IF(F87-E87=0,"",F87-E87)</f>
        <v/>
      </c>
      <c r="H87" s="87"/>
      <c r="I87" s="88">
        <f t="shared" ref="I87:I88" si="11">IF(H87=100%,1,0)</f>
        <v>0</v>
      </c>
      <c r="J87" s="89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1"/>
      <c r="Y87" s="92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1"/>
      <c r="AN87" s="92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1"/>
      <c r="BC87" s="92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3"/>
      <c r="BR87" s="94"/>
    </row>
    <row r="88" ht="15.75" customHeight="1">
      <c r="B88" s="81"/>
      <c r="C88" s="139" t="s">
        <v>141</v>
      </c>
      <c r="D88" s="83"/>
      <c r="E88" s="84"/>
      <c r="F88" s="85"/>
      <c r="G88" s="86" t="str">
        <f t="shared" si="10"/>
        <v/>
      </c>
      <c r="H88" s="87"/>
      <c r="I88" s="88">
        <f t="shared" si="11"/>
        <v>0</v>
      </c>
      <c r="J88" s="89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1"/>
      <c r="Y88" s="92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1"/>
      <c r="AN88" s="92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1"/>
      <c r="BC88" s="92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3"/>
      <c r="BR88" s="94"/>
    </row>
    <row r="89" ht="15.75" customHeight="1">
      <c r="B89" s="81"/>
      <c r="C89" s="95" t="s">
        <v>142</v>
      </c>
      <c r="D89" s="14" t="s">
        <v>88</v>
      </c>
      <c r="E89" s="96"/>
      <c r="F89" s="97"/>
      <c r="G89" s="98"/>
      <c r="H89" s="99">
        <v>0.2</v>
      </c>
      <c r="I89" s="100"/>
      <c r="J89" s="101"/>
      <c r="K89" s="102"/>
      <c r="L89" s="102"/>
      <c r="M89" s="102"/>
      <c r="N89" s="102"/>
      <c r="O89" s="103"/>
      <c r="P89" s="103"/>
      <c r="Q89" s="103"/>
      <c r="R89" s="103"/>
      <c r="S89" s="103"/>
      <c r="T89" s="102"/>
      <c r="U89" s="102"/>
      <c r="V89" s="102"/>
      <c r="W89" s="102"/>
      <c r="X89" s="104"/>
      <c r="Y89" s="105"/>
      <c r="Z89" s="102"/>
      <c r="AA89" s="102"/>
      <c r="AB89" s="102"/>
      <c r="AC89" s="102"/>
      <c r="AD89" s="106"/>
      <c r="AE89" s="106"/>
      <c r="AF89" s="106"/>
      <c r="AG89" s="106"/>
      <c r="AH89" s="106"/>
      <c r="AI89" s="102"/>
      <c r="AJ89" s="102"/>
      <c r="AK89" s="102"/>
      <c r="AL89" s="102"/>
      <c r="AM89" s="104"/>
      <c r="AN89" s="105"/>
      <c r="AO89" s="102"/>
      <c r="AP89" s="102"/>
      <c r="AQ89" s="102"/>
      <c r="AR89" s="102"/>
      <c r="AS89" s="107"/>
      <c r="AT89" s="107"/>
      <c r="AU89" s="107"/>
      <c r="AV89" s="107"/>
      <c r="AW89" s="107"/>
      <c r="AX89" s="102"/>
      <c r="AY89" s="102"/>
      <c r="AZ89" s="102"/>
      <c r="BA89" s="102"/>
      <c r="BB89" s="104"/>
      <c r="BC89" s="105"/>
      <c r="BD89" s="102"/>
      <c r="BE89" s="102"/>
      <c r="BF89" s="102"/>
      <c r="BG89" s="102"/>
      <c r="BH89" s="108"/>
      <c r="BI89" s="108"/>
      <c r="BJ89" s="108"/>
      <c r="BK89" s="108"/>
      <c r="BL89" s="108"/>
      <c r="BM89" s="102"/>
      <c r="BN89" s="102"/>
      <c r="BO89" s="102"/>
      <c r="BP89" s="102"/>
      <c r="BQ89" s="109"/>
      <c r="BR89" s="14"/>
    </row>
    <row r="90" ht="15.75" customHeight="1">
      <c r="B90" s="81"/>
      <c r="C90" s="95" t="s">
        <v>143</v>
      </c>
      <c r="D90" s="14" t="s">
        <v>88</v>
      </c>
      <c r="E90" s="96"/>
      <c r="F90" s="97"/>
      <c r="G90" s="98"/>
      <c r="H90" s="99">
        <v>0.2</v>
      </c>
      <c r="I90" s="100"/>
      <c r="J90" s="101"/>
      <c r="K90" s="102"/>
      <c r="L90" s="102"/>
      <c r="M90" s="102"/>
      <c r="N90" s="102"/>
      <c r="O90" s="103"/>
      <c r="P90" s="103"/>
      <c r="Q90" s="103"/>
      <c r="R90" s="103"/>
      <c r="S90" s="103"/>
      <c r="T90" s="102"/>
      <c r="U90" s="102"/>
      <c r="V90" s="102"/>
      <c r="W90" s="102"/>
      <c r="X90" s="104"/>
      <c r="Y90" s="105"/>
      <c r="Z90" s="102"/>
      <c r="AA90" s="102"/>
      <c r="AB90" s="102"/>
      <c r="AC90" s="102"/>
      <c r="AD90" s="106"/>
      <c r="AE90" s="106"/>
      <c r="AF90" s="106"/>
      <c r="AG90" s="106"/>
      <c r="AH90" s="106"/>
      <c r="AI90" s="102"/>
      <c r="AJ90" s="102"/>
      <c r="AK90" s="102"/>
      <c r="AL90" s="102"/>
      <c r="AM90" s="104"/>
      <c r="AN90" s="105"/>
      <c r="AO90" s="102"/>
      <c r="AP90" s="102"/>
      <c r="AQ90" s="102"/>
      <c r="AR90" s="102"/>
      <c r="AS90" s="107"/>
      <c r="AT90" s="107"/>
      <c r="AU90" s="107"/>
      <c r="AV90" s="107"/>
      <c r="AW90" s="107"/>
      <c r="AX90" s="102"/>
      <c r="AY90" s="102"/>
      <c r="AZ90" s="102"/>
      <c r="BA90" s="102"/>
      <c r="BB90" s="104"/>
      <c r="BC90" s="105"/>
      <c r="BD90" s="102"/>
      <c r="BE90" s="102"/>
      <c r="BF90" s="102"/>
      <c r="BG90" s="102"/>
      <c r="BH90" s="108"/>
      <c r="BI90" s="108"/>
      <c r="BJ90" s="108"/>
      <c r="BK90" s="108"/>
      <c r="BL90" s="108"/>
      <c r="BM90" s="102"/>
      <c r="BN90" s="102"/>
      <c r="BO90" s="102"/>
      <c r="BP90" s="102"/>
      <c r="BQ90" s="109"/>
      <c r="BR90" s="14"/>
    </row>
    <row r="91" ht="15.75" customHeight="1">
      <c r="B91" s="81"/>
      <c r="C91" s="95" t="s">
        <v>144</v>
      </c>
      <c r="D91" s="14" t="s">
        <v>88</v>
      </c>
      <c r="E91" s="96"/>
      <c r="F91" s="97"/>
      <c r="G91" s="98"/>
      <c r="H91" s="99">
        <v>0.2</v>
      </c>
      <c r="I91" s="100"/>
      <c r="J91" s="101"/>
      <c r="K91" s="102"/>
      <c r="L91" s="102"/>
      <c r="M91" s="102"/>
      <c r="N91" s="102"/>
      <c r="O91" s="103"/>
      <c r="P91" s="103"/>
      <c r="Q91" s="103"/>
      <c r="R91" s="103"/>
      <c r="S91" s="103"/>
      <c r="T91" s="102"/>
      <c r="U91" s="102"/>
      <c r="V91" s="102"/>
      <c r="W91" s="102"/>
      <c r="X91" s="104"/>
      <c r="Y91" s="105"/>
      <c r="Z91" s="102"/>
      <c r="AA91" s="102"/>
      <c r="AB91" s="102"/>
      <c r="AC91" s="102"/>
      <c r="AD91" s="106"/>
      <c r="AE91" s="106"/>
      <c r="AF91" s="106"/>
      <c r="AG91" s="106"/>
      <c r="AH91" s="106"/>
      <c r="AI91" s="102"/>
      <c r="AJ91" s="102"/>
      <c r="AK91" s="102"/>
      <c r="AL91" s="102"/>
      <c r="AM91" s="104"/>
      <c r="AN91" s="105"/>
      <c r="AO91" s="102"/>
      <c r="AP91" s="102"/>
      <c r="AQ91" s="102"/>
      <c r="AR91" s="102"/>
      <c r="AS91" s="107"/>
      <c r="AT91" s="107"/>
      <c r="AU91" s="107"/>
      <c r="AV91" s="107"/>
      <c r="AW91" s="107"/>
      <c r="AX91" s="102"/>
      <c r="AY91" s="102"/>
      <c r="AZ91" s="102"/>
      <c r="BA91" s="102"/>
      <c r="BB91" s="104"/>
      <c r="BC91" s="105"/>
      <c r="BD91" s="102"/>
      <c r="BE91" s="102"/>
      <c r="BF91" s="102"/>
      <c r="BG91" s="102"/>
      <c r="BH91" s="108"/>
      <c r="BI91" s="108"/>
      <c r="BJ91" s="108"/>
      <c r="BK91" s="108"/>
      <c r="BL91" s="108"/>
      <c r="BM91" s="102"/>
      <c r="BN91" s="102"/>
      <c r="BO91" s="102"/>
      <c r="BP91" s="102"/>
      <c r="BQ91" s="109"/>
      <c r="BR91" s="14"/>
    </row>
    <row r="92" ht="15.75" customHeight="1">
      <c r="B92" s="81"/>
      <c r="C92" s="95" t="s">
        <v>145</v>
      </c>
      <c r="D92" s="14" t="s">
        <v>88</v>
      </c>
      <c r="E92" s="96"/>
      <c r="F92" s="97"/>
      <c r="G92" s="98"/>
      <c r="H92" s="99">
        <v>0.0</v>
      </c>
      <c r="I92" s="100"/>
      <c r="J92" s="101"/>
      <c r="K92" s="102"/>
      <c r="L92" s="102"/>
      <c r="M92" s="102"/>
      <c r="N92" s="102"/>
      <c r="O92" s="103"/>
      <c r="P92" s="103"/>
      <c r="Q92" s="103"/>
      <c r="R92" s="103"/>
      <c r="S92" s="103"/>
      <c r="T92" s="102"/>
      <c r="U92" s="102"/>
      <c r="V92" s="102"/>
      <c r="W92" s="102"/>
      <c r="X92" s="104"/>
      <c r="Y92" s="105"/>
      <c r="Z92" s="102"/>
      <c r="AA92" s="102"/>
      <c r="AB92" s="102"/>
      <c r="AC92" s="102"/>
      <c r="AD92" s="106"/>
      <c r="AE92" s="106"/>
      <c r="AF92" s="106"/>
      <c r="AG92" s="106"/>
      <c r="AH92" s="106"/>
      <c r="AI92" s="102"/>
      <c r="AJ92" s="102"/>
      <c r="AK92" s="102"/>
      <c r="AL92" s="102"/>
      <c r="AM92" s="104"/>
      <c r="AN92" s="105"/>
      <c r="AO92" s="102"/>
      <c r="AP92" s="102"/>
      <c r="AQ92" s="102"/>
      <c r="AR92" s="102"/>
      <c r="AS92" s="107"/>
      <c r="AT92" s="107"/>
      <c r="AU92" s="107"/>
      <c r="AV92" s="107"/>
      <c r="AW92" s="107"/>
      <c r="AX92" s="102"/>
      <c r="AY92" s="102"/>
      <c r="AZ92" s="102"/>
      <c r="BA92" s="102"/>
      <c r="BB92" s="104"/>
      <c r="BC92" s="105"/>
      <c r="BD92" s="102"/>
      <c r="BE92" s="102"/>
      <c r="BF92" s="102"/>
      <c r="BG92" s="102"/>
      <c r="BH92" s="108"/>
      <c r="BI92" s="108"/>
      <c r="BJ92" s="108"/>
      <c r="BK92" s="108"/>
      <c r="BL92" s="108"/>
      <c r="BM92" s="102"/>
      <c r="BN92" s="102"/>
      <c r="BO92" s="102"/>
      <c r="BP92" s="102"/>
      <c r="BQ92" s="109"/>
      <c r="BR92" s="14"/>
    </row>
    <row r="93" ht="15.75" customHeight="1">
      <c r="B93" s="81"/>
      <c r="C93" s="139" t="s">
        <v>146</v>
      </c>
      <c r="D93" s="83"/>
      <c r="E93" s="84"/>
      <c r="F93" s="85"/>
      <c r="G93" s="86" t="str">
        <f>IF(F93-E93=0,"",F93-E93)</f>
        <v/>
      </c>
      <c r="H93" s="87"/>
      <c r="I93" s="88">
        <f>IF(H93=100%,1,0)</f>
        <v>0</v>
      </c>
      <c r="J93" s="89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1"/>
      <c r="Y93" s="92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1"/>
      <c r="AN93" s="92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1"/>
      <c r="BC93" s="92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3"/>
      <c r="BR93" s="94"/>
    </row>
    <row r="94" ht="15.75" customHeight="1">
      <c r="B94" s="81"/>
      <c r="C94" s="95" t="s">
        <v>147</v>
      </c>
      <c r="D94" s="14" t="s">
        <v>148</v>
      </c>
      <c r="E94" s="96"/>
      <c r="F94" s="97"/>
      <c r="G94" s="98"/>
      <c r="H94" s="99">
        <v>0.0</v>
      </c>
      <c r="I94" s="100"/>
      <c r="J94" s="101"/>
      <c r="K94" s="102"/>
      <c r="L94" s="102"/>
      <c r="M94" s="102"/>
      <c r="N94" s="102"/>
      <c r="O94" s="103"/>
      <c r="P94" s="103"/>
      <c r="Q94" s="103"/>
      <c r="R94" s="103"/>
      <c r="S94" s="103"/>
      <c r="T94" s="102"/>
      <c r="U94" s="102"/>
      <c r="V94" s="102"/>
      <c r="W94" s="102"/>
      <c r="X94" s="104"/>
      <c r="Y94" s="105"/>
      <c r="Z94" s="102"/>
      <c r="AA94" s="102"/>
      <c r="AB94" s="102"/>
      <c r="AC94" s="102"/>
      <c r="AD94" s="106"/>
      <c r="AE94" s="106"/>
      <c r="AF94" s="106"/>
      <c r="AG94" s="106"/>
      <c r="AH94" s="106"/>
      <c r="AI94" s="102"/>
      <c r="AJ94" s="102"/>
      <c r="AK94" s="102"/>
      <c r="AL94" s="102"/>
      <c r="AM94" s="104"/>
      <c r="AN94" s="105"/>
      <c r="AO94" s="102"/>
      <c r="AP94" s="102"/>
      <c r="AQ94" s="102"/>
      <c r="AR94" s="102"/>
      <c r="AS94" s="107"/>
      <c r="AT94" s="107"/>
      <c r="AU94" s="107"/>
      <c r="AV94" s="107"/>
      <c r="AW94" s="107"/>
      <c r="AX94" s="102"/>
      <c r="AY94" s="102"/>
      <c r="AZ94" s="102"/>
      <c r="BA94" s="102"/>
      <c r="BB94" s="104"/>
      <c r="BC94" s="105"/>
      <c r="BD94" s="102"/>
      <c r="BE94" s="102"/>
      <c r="BF94" s="102"/>
      <c r="BG94" s="102"/>
      <c r="BH94" s="108"/>
      <c r="BI94" s="108"/>
      <c r="BJ94" s="108"/>
      <c r="BK94" s="108"/>
      <c r="BL94" s="108"/>
      <c r="BM94" s="102"/>
      <c r="BN94" s="102"/>
      <c r="BO94" s="102"/>
      <c r="BP94" s="102"/>
      <c r="BQ94" s="109"/>
      <c r="BR94" s="14"/>
    </row>
    <row r="95" ht="15.75" customHeight="1">
      <c r="B95" s="81"/>
      <c r="C95" s="95" t="s">
        <v>149</v>
      </c>
      <c r="D95" s="14" t="s">
        <v>148</v>
      </c>
      <c r="E95" s="96"/>
      <c r="F95" s="97"/>
      <c r="G95" s="98"/>
      <c r="H95" s="99">
        <v>0.0</v>
      </c>
      <c r="I95" s="100"/>
      <c r="J95" s="101"/>
      <c r="K95" s="102"/>
      <c r="L95" s="102"/>
      <c r="M95" s="102"/>
      <c r="N95" s="102"/>
      <c r="O95" s="103"/>
      <c r="P95" s="103"/>
      <c r="Q95" s="103"/>
      <c r="R95" s="103"/>
      <c r="S95" s="103"/>
      <c r="T95" s="102"/>
      <c r="U95" s="102"/>
      <c r="V95" s="102"/>
      <c r="W95" s="102"/>
      <c r="X95" s="104"/>
      <c r="Y95" s="105"/>
      <c r="Z95" s="102"/>
      <c r="AA95" s="102"/>
      <c r="AB95" s="102"/>
      <c r="AC95" s="102"/>
      <c r="AD95" s="106"/>
      <c r="AE95" s="106"/>
      <c r="AF95" s="106"/>
      <c r="AG95" s="106"/>
      <c r="AH95" s="106"/>
      <c r="AI95" s="102"/>
      <c r="AJ95" s="102"/>
      <c r="AK95" s="102"/>
      <c r="AL95" s="102"/>
      <c r="AM95" s="104"/>
      <c r="AN95" s="105"/>
      <c r="AO95" s="102"/>
      <c r="AP95" s="102"/>
      <c r="AQ95" s="102"/>
      <c r="AR95" s="102"/>
      <c r="AS95" s="107"/>
      <c r="AT95" s="107"/>
      <c r="AU95" s="107"/>
      <c r="AV95" s="107"/>
      <c r="AW95" s="107"/>
      <c r="AX95" s="102"/>
      <c r="AY95" s="102"/>
      <c r="AZ95" s="102"/>
      <c r="BA95" s="102"/>
      <c r="BB95" s="104"/>
      <c r="BC95" s="105"/>
      <c r="BD95" s="102"/>
      <c r="BE95" s="102"/>
      <c r="BF95" s="102"/>
      <c r="BG95" s="102"/>
      <c r="BH95" s="108"/>
      <c r="BI95" s="108"/>
      <c r="BJ95" s="108"/>
      <c r="BK95" s="108"/>
      <c r="BL95" s="108"/>
      <c r="BM95" s="102"/>
      <c r="BN95" s="102"/>
      <c r="BO95" s="102"/>
      <c r="BP95" s="102"/>
      <c r="BQ95" s="109"/>
      <c r="BR95" s="14"/>
    </row>
    <row r="96" ht="15.75" customHeight="1">
      <c r="B96" s="81"/>
      <c r="C96" s="95" t="s">
        <v>150</v>
      </c>
      <c r="D96" s="14" t="s">
        <v>148</v>
      </c>
      <c r="E96" s="96"/>
      <c r="F96" s="97"/>
      <c r="G96" s="98"/>
      <c r="H96" s="99">
        <v>0.0</v>
      </c>
      <c r="I96" s="100"/>
      <c r="J96" s="101"/>
      <c r="K96" s="102"/>
      <c r="L96" s="102"/>
      <c r="M96" s="102"/>
      <c r="N96" s="102"/>
      <c r="O96" s="103"/>
      <c r="P96" s="103"/>
      <c r="Q96" s="103"/>
      <c r="R96" s="103"/>
      <c r="S96" s="103"/>
      <c r="T96" s="102"/>
      <c r="U96" s="102"/>
      <c r="V96" s="102"/>
      <c r="W96" s="102"/>
      <c r="X96" s="104"/>
      <c r="Y96" s="105"/>
      <c r="Z96" s="102"/>
      <c r="AA96" s="102"/>
      <c r="AB96" s="102"/>
      <c r="AC96" s="102"/>
      <c r="AD96" s="106"/>
      <c r="AE96" s="106"/>
      <c r="AF96" s="106"/>
      <c r="AG96" s="106"/>
      <c r="AH96" s="106"/>
      <c r="AI96" s="102"/>
      <c r="AJ96" s="102"/>
      <c r="AK96" s="102"/>
      <c r="AL96" s="102"/>
      <c r="AM96" s="104"/>
      <c r="AN96" s="105"/>
      <c r="AO96" s="102"/>
      <c r="AP96" s="102"/>
      <c r="AQ96" s="102"/>
      <c r="AR96" s="102"/>
      <c r="AS96" s="107"/>
      <c r="AT96" s="107"/>
      <c r="AU96" s="107"/>
      <c r="AV96" s="107"/>
      <c r="AW96" s="107"/>
      <c r="AX96" s="102"/>
      <c r="AY96" s="102"/>
      <c r="AZ96" s="102"/>
      <c r="BA96" s="102"/>
      <c r="BB96" s="104"/>
      <c r="BC96" s="105"/>
      <c r="BD96" s="102"/>
      <c r="BE96" s="102"/>
      <c r="BF96" s="102"/>
      <c r="BG96" s="102"/>
      <c r="BH96" s="108"/>
      <c r="BI96" s="108"/>
      <c r="BJ96" s="108"/>
      <c r="BK96" s="108"/>
      <c r="BL96" s="108"/>
      <c r="BM96" s="102"/>
      <c r="BN96" s="102"/>
      <c r="BO96" s="102"/>
      <c r="BP96" s="102"/>
      <c r="BQ96" s="109"/>
      <c r="BR96" s="14"/>
    </row>
    <row r="97" ht="15.75" customHeight="1">
      <c r="B97" s="81"/>
      <c r="C97" s="95" t="s">
        <v>151</v>
      </c>
      <c r="D97" s="14" t="s">
        <v>148</v>
      </c>
      <c r="E97" s="96"/>
      <c r="F97" s="97"/>
      <c r="G97" s="98"/>
      <c r="H97" s="99">
        <v>0.0</v>
      </c>
      <c r="I97" s="100"/>
      <c r="J97" s="101"/>
      <c r="K97" s="102"/>
      <c r="L97" s="102"/>
      <c r="M97" s="102"/>
      <c r="N97" s="102"/>
      <c r="O97" s="103"/>
      <c r="P97" s="103"/>
      <c r="Q97" s="103"/>
      <c r="R97" s="103"/>
      <c r="S97" s="103"/>
      <c r="T97" s="102"/>
      <c r="U97" s="102"/>
      <c r="V97" s="102"/>
      <c r="W97" s="102"/>
      <c r="X97" s="104"/>
      <c r="Y97" s="105"/>
      <c r="Z97" s="102"/>
      <c r="AA97" s="102"/>
      <c r="AB97" s="102"/>
      <c r="AC97" s="102"/>
      <c r="AD97" s="106"/>
      <c r="AE97" s="106"/>
      <c r="AF97" s="106"/>
      <c r="AG97" s="106"/>
      <c r="AH97" s="106"/>
      <c r="AI97" s="102"/>
      <c r="AJ97" s="102"/>
      <c r="AK97" s="102"/>
      <c r="AL97" s="102"/>
      <c r="AM97" s="104"/>
      <c r="AN97" s="105"/>
      <c r="AO97" s="102"/>
      <c r="AP97" s="102"/>
      <c r="AQ97" s="102"/>
      <c r="AR97" s="102"/>
      <c r="AS97" s="107"/>
      <c r="AT97" s="107"/>
      <c r="AU97" s="107"/>
      <c r="AV97" s="107"/>
      <c r="AW97" s="107"/>
      <c r="AX97" s="102"/>
      <c r="AY97" s="102"/>
      <c r="AZ97" s="102"/>
      <c r="BA97" s="102"/>
      <c r="BB97" s="104"/>
      <c r="BC97" s="105"/>
      <c r="BD97" s="102"/>
      <c r="BE97" s="102"/>
      <c r="BF97" s="102"/>
      <c r="BG97" s="102"/>
      <c r="BH97" s="108"/>
      <c r="BI97" s="108"/>
      <c r="BJ97" s="108"/>
      <c r="BK97" s="108"/>
      <c r="BL97" s="108"/>
      <c r="BM97" s="102"/>
      <c r="BN97" s="102"/>
      <c r="BO97" s="102"/>
      <c r="BP97" s="102"/>
      <c r="BQ97" s="109"/>
      <c r="BR97" s="14"/>
    </row>
    <row r="98" ht="15.75" customHeight="1">
      <c r="B98" s="81"/>
      <c r="C98" s="139" t="s">
        <v>152</v>
      </c>
      <c r="D98" s="83"/>
      <c r="E98" s="84"/>
      <c r="F98" s="85"/>
      <c r="G98" s="86" t="str">
        <f>IF(F98-E98=0,"",F98-E98)</f>
        <v/>
      </c>
      <c r="H98" s="87"/>
      <c r="I98" s="88">
        <f>IF(H98=100%,1,0)</f>
        <v>0</v>
      </c>
      <c r="J98" s="89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1"/>
      <c r="Y98" s="92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1"/>
      <c r="AN98" s="92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1"/>
      <c r="BC98" s="92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3"/>
      <c r="BR98" s="94"/>
    </row>
    <row r="99" ht="15.75" customHeight="1">
      <c r="B99" s="81"/>
      <c r="C99" s="95" t="s">
        <v>153</v>
      </c>
      <c r="D99" s="14" t="s">
        <v>148</v>
      </c>
      <c r="E99" s="96"/>
      <c r="F99" s="97"/>
      <c r="G99" s="98"/>
      <c r="H99" s="99">
        <v>0.0</v>
      </c>
      <c r="I99" s="100"/>
      <c r="J99" s="101"/>
      <c r="K99" s="102"/>
      <c r="L99" s="102"/>
      <c r="M99" s="102"/>
      <c r="N99" s="102"/>
      <c r="O99" s="103"/>
      <c r="P99" s="103"/>
      <c r="Q99" s="103"/>
      <c r="R99" s="103"/>
      <c r="S99" s="103"/>
      <c r="T99" s="102"/>
      <c r="U99" s="102"/>
      <c r="V99" s="102"/>
      <c r="W99" s="102"/>
      <c r="X99" s="104"/>
      <c r="Y99" s="105"/>
      <c r="Z99" s="102"/>
      <c r="AA99" s="102"/>
      <c r="AB99" s="102"/>
      <c r="AC99" s="102"/>
      <c r="AD99" s="106"/>
      <c r="AE99" s="106"/>
      <c r="AF99" s="106"/>
      <c r="AG99" s="106"/>
      <c r="AH99" s="106"/>
      <c r="AI99" s="102"/>
      <c r="AJ99" s="102"/>
      <c r="AK99" s="102"/>
      <c r="AL99" s="102"/>
      <c r="AM99" s="104"/>
      <c r="AN99" s="105"/>
      <c r="AO99" s="102"/>
      <c r="AP99" s="102"/>
      <c r="AQ99" s="102"/>
      <c r="AR99" s="102"/>
      <c r="AS99" s="107"/>
      <c r="AT99" s="107"/>
      <c r="AU99" s="107"/>
      <c r="AV99" s="107"/>
      <c r="AW99" s="107"/>
      <c r="AX99" s="102"/>
      <c r="AY99" s="102"/>
      <c r="AZ99" s="102"/>
      <c r="BA99" s="102"/>
      <c r="BB99" s="104"/>
      <c r="BC99" s="105"/>
      <c r="BD99" s="102"/>
      <c r="BE99" s="102"/>
      <c r="BF99" s="102"/>
      <c r="BG99" s="102"/>
      <c r="BH99" s="108"/>
      <c r="BI99" s="108"/>
      <c r="BJ99" s="108"/>
      <c r="BK99" s="108"/>
      <c r="BL99" s="108"/>
      <c r="BM99" s="102"/>
      <c r="BN99" s="102"/>
      <c r="BO99" s="102"/>
      <c r="BP99" s="102"/>
      <c r="BQ99" s="109"/>
      <c r="BR99" s="14"/>
    </row>
    <row r="100" ht="15.75" customHeight="1">
      <c r="B100" s="81"/>
      <c r="C100" s="95" t="s">
        <v>154</v>
      </c>
      <c r="D100" s="14" t="s">
        <v>148</v>
      </c>
      <c r="E100" s="96"/>
      <c r="F100" s="97"/>
      <c r="G100" s="98"/>
      <c r="H100" s="99">
        <v>0.0</v>
      </c>
      <c r="I100" s="100"/>
      <c r="J100" s="101"/>
      <c r="K100" s="102"/>
      <c r="L100" s="102"/>
      <c r="M100" s="102"/>
      <c r="N100" s="102"/>
      <c r="O100" s="103"/>
      <c r="P100" s="103"/>
      <c r="Q100" s="103"/>
      <c r="R100" s="103"/>
      <c r="S100" s="103"/>
      <c r="T100" s="102"/>
      <c r="U100" s="102"/>
      <c r="V100" s="102"/>
      <c r="W100" s="102"/>
      <c r="X100" s="104"/>
      <c r="Y100" s="105"/>
      <c r="Z100" s="102"/>
      <c r="AA100" s="102"/>
      <c r="AB100" s="102"/>
      <c r="AC100" s="102"/>
      <c r="AD100" s="106"/>
      <c r="AE100" s="106"/>
      <c r="AF100" s="106"/>
      <c r="AG100" s="106"/>
      <c r="AH100" s="106"/>
      <c r="AI100" s="102"/>
      <c r="AJ100" s="102"/>
      <c r="AK100" s="102"/>
      <c r="AL100" s="102"/>
      <c r="AM100" s="104"/>
      <c r="AN100" s="105"/>
      <c r="AO100" s="102"/>
      <c r="AP100" s="102"/>
      <c r="AQ100" s="102"/>
      <c r="AR100" s="102"/>
      <c r="AS100" s="107"/>
      <c r="AT100" s="107"/>
      <c r="AU100" s="107"/>
      <c r="AV100" s="107"/>
      <c r="AW100" s="107"/>
      <c r="AX100" s="102"/>
      <c r="AY100" s="102"/>
      <c r="AZ100" s="102"/>
      <c r="BA100" s="102"/>
      <c r="BB100" s="104"/>
      <c r="BC100" s="105"/>
      <c r="BD100" s="102"/>
      <c r="BE100" s="102"/>
      <c r="BF100" s="102"/>
      <c r="BG100" s="102"/>
      <c r="BH100" s="108"/>
      <c r="BI100" s="108"/>
      <c r="BJ100" s="108"/>
      <c r="BK100" s="108"/>
      <c r="BL100" s="108"/>
      <c r="BM100" s="102"/>
      <c r="BN100" s="102"/>
      <c r="BO100" s="102"/>
      <c r="BP100" s="102"/>
      <c r="BQ100" s="109"/>
      <c r="BR100" s="14"/>
    </row>
    <row r="101" ht="15.75" customHeight="1">
      <c r="B101" s="81"/>
      <c r="C101" s="95" t="s">
        <v>155</v>
      </c>
      <c r="D101" s="14" t="s">
        <v>148</v>
      </c>
      <c r="E101" s="96"/>
      <c r="F101" s="97"/>
      <c r="G101" s="98"/>
      <c r="H101" s="99">
        <v>0.0</v>
      </c>
      <c r="I101" s="100"/>
      <c r="J101" s="101"/>
      <c r="K101" s="102"/>
      <c r="L101" s="102"/>
      <c r="M101" s="102"/>
      <c r="N101" s="102"/>
      <c r="O101" s="103"/>
      <c r="P101" s="103"/>
      <c r="Q101" s="103"/>
      <c r="R101" s="103"/>
      <c r="S101" s="103"/>
      <c r="T101" s="102"/>
      <c r="U101" s="102"/>
      <c r="V101" s="102"/>
      <c r="W101" s="102"/>
      <c r="X101" s="104"/>
      <c r="Y101" s="105"/>
      <c r="Z101" s="102"/>
      <c r="AA101" s="102"/>
      <c r="AB101" s="102"/>
      <c r="AC101" s="102"/>
      <c r="AD101" s="106"/>
      <c r="AE101" s="106"/>
      <c r="AF101" s="106"/>
      <c r="AG101" s="106"/>
      <c r="AH101" s="106"/>
      <c r="AI101" s="102"/>
      <c r="AJ101" s="102"/>
      <c r="AK101" s="102"/>
      <c r="AL101" s="102"/>
      <c r="AM101" s="104"/>
      <c r="AN101" s="105"/>
      <c r="AO101" s="102"/>
      <c r="AP101" s="102"/>
      <c r="AQ101" s="102"/>
      <c r="AR101" s="102"/>
      <c r="AS101" s="107"/>
      <c r="AT101" s="107"/>
      <c r="AU101" s="107"/>
      <c r="AV101" s="107"/>
      <c r="AW101" s="107"/>
      <c r="AX101" s="102"/>
      <c r="AY101" s="102"/>
      <c r="AZ101" s="102"/>
      <c r="BA101" s="102"/>
      <c r="BB101" s="104"/>
      <c r="BC101" s="105"/>
      <c r="BD101" s="102"/>
      <c r="BE101" s="102"/>
      <c r="BF101" s="102"/>
      <c r="BG101" s="102"/>
      <c r="BH101" s="108"/>
      <c r="BI101" s="108"/>
      <c r="BJ101" s="108"/>
      <c r="BK101" s="108"/>
      <c r="BL101" s="108"/>
      <c r="BM101" s="102"/>
      <c r="BN101" s="102"/>
      <c r="BO101" s="102"/>
      <c r="BP101" s="102"/>
      <c r="BQ101" s="109"/>
      <c r="BR101" s="14"/>
    </row>
    <row r="102" ht="15.75" customHeight="1">
      <c r="B102" s="81"/>
      <c r="C102" s="139" t="s">
        <v>156</v>
      </c>
      <c r="D102" s="83"/>
      <c r="E102" s="84"/>
      <c r="F102" s="85"/>
      <c r="G102" s="86" t="str">
        <f>IF(F102-E102=0,"",F102-E102)</f>
        <v/>
      </c>
      <c r="H102" s="87"/>
      <c r="I102" s="88">
        <f>IF(H102=100%,1,0)</f>
        <v>0</v>
      </c>
      <c r="J102" s="89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1"/>
      <c r="Y102" s="92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1"/>
      <c r="AN102" s="92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1"/>
      <c r="BC102" s="92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3"/>
      <c r="BR102" s="94"/>
    </row>
    <row r="103" ht="15.75" customHeight="1">
      <c r="B103" s="81"/>
      <c r="C103" s="95" t="s">
        <v>157</v>
      </c>
      <c r="D103" s="14" t="s">
        <v>148</v>
      </c>
      <c r="E103" s="96"/>
      <c r="F103" s="97"/>
      <c r="G103" s="98"/>
      <c r="H103" s="99">
        <v>0.0</v>
      </c>
      <c r="I103" s="100"/>
      <c r="J103" s="101"/>
      <c r="K103" s="102"/>
      <c r="L103" s="102"/>
      <c r="M103" s="102"/>
      <c r="N103" s="102"/>
      <c r="O103" s="103"/>
      <c r="P103" s="103"/>
      <c r="Q103" s="103"/>
      <c r="R103" s="103"/>
      <c r="S103" s="103"/>
      <c r="T103" s="102"/>
      <c r="U103" s="102"/>
      <c r="V103" s="102"/>
      <c r="W103" s="102"/>
      <c r="X103" s="104"/>
      <c r="Y103" s="105"/>
      <c r="Z103" s="102"/>
      <c r="AA103" s="102"/>
      <c r="AB103" s="102"/>
      <c r="AC103" s="102"/>
      <c r="AD103" s="106"/>
      <c r="AE103" s="106"/>
      <c r="AF103" s="106"/>
      <c r="AG103" s="106"/>
      <c r="AH103" s="106"/>
      <c r="AI103" s="102"/>
      <c r="AJ103" s="102"/>
      <c r="AK103" s="102"/>
      <c r="AL103" s="102"/>
      <c r="AM103" s="104"/>
      <c r="AN103" s="105"/>
      <c r="AO103" s="102"/>
      <c r="AP103" s="102"/>
      <c r="AQ103" s="102"/>
      <c r="AR103" s="102"/>
      <c r="AS103" s="107"/>
      <c r="AT103" s="107"/>
      <c r="AU103" s="107"/>
      <c r="AV103" s="107"/>
      <c r="AW103" s="107"/>
      <c r="AX103" s="102"/>
      <c r="AY103" s="102"/>
      <c r="AZ103" s="102"/>
      <c r="BA103" s="102"/>
      <c r="BB103" s="104"/>
      <c r="BC103" s="105"/>
      <c r="BD103" s="102"/>
      <c r="BE103" s="102"/>
      <c r="BF103" s="102"/>
      <c r="BG103" s="102"/>
      <c r="BH103" s="108"/>
      <c r="BI103" s="108"/>
      <c r="BJ103" s="108"/>
      <c r="BK103" s="108"/>
      <c r="BL103" s="108"/>
      <c r="BM103" s="102"/>
      <c r="BN103" s="102"/>
      <c r="BO103" s="102"/>
      <c r="BP103" s="102"/>
      <c r="BQ103" s="109"/>
      <c r="BR103" s="14"/>
    </row>
    <row r="104" ht="15.75" customHeight="1">
      <c r="B104" s="81"/>
      <c r="C104" s="95" t="s">
        <v>158</v>
      </c>
      <c r="D104" s="14" t="s">
        <v>148</v>
      </c>
      <c r="E104" s="96"/>
      <c r="F104" s="97"/>
      <c r="G104" s="98"/>
      <c r="H104" s="99">
        <v>0.0</v>
      </c>
      <c r="I104" s="100"/>
      <c r="J104" s="101"/>
      <c r="K104" s="102"/>
      <c r="L104" s="102"/>
      <c r="M104" s="102"/>
      <c r="N104" s="102"/>
      <c r="O104" s="103"/>
      <c r="P104" s="103"/>
      <c r="Q104" s="103"/>
      <c r="R104" s="103"/>
      <c r="S104" s="103"/>
      <c r="T104" s="102"/>
      <c r="U104" s="102"/>
      <c r="V104" s="102"/>
      <c r="W104" s="102"/>
      <c r="X104" s="104"/>
      <c r="Y104" s="105"/>
      <c r="Z104" s="102"/>
      <c r="AA104" s="102"/>
      <c r="AB104" s="102"/>
      <c r="AC104" s="102"/>
      <c r="AD104" s="106"/>
      <c r="AE104" s="106"/>
      <c r="AF104" s="106"/>
      <c r="AG104" s="106"/>
      <c r="AH104" s="106"/>
      <c r="AI104" s="102"/>
      <c r="AJ104" s="102"/>
      <c r="AK104" s="102"/>
      <c r="AL104" s="102"/>
      <c r="AM104" s="104"/>
      <c r="AN104" s="105"/>
      <c r="AO104" s="102"/>
      <c r="AP104" s="102"/>
      <c r="AQ104" s="102"/>
      <c r="AR104" s="102"/>
      <c r="AS104" s="107"/>
      <c r="AT104" s="107"/>
      <c r="AU104" s="107"/>
      <c r="AV104" s="107"/>
      <c r="AW104" s="107"/>
      <c r="AX104" s="102"/>
      <c r="AY104" s="102"/>
      <c r="AZ104" s="102"/>
      <c r="BA104" s="102"/>
      <c r="BB104" s="104"/>
      <c r="BC104" s="105"/>
      <c r="BD104" s="102"/>
      <c r="BE104" s="102"/>
      <c r="BF104" s="102"/>
      <c r="BG104" s="102"/>
      <c r="BH104" s="108"/>
      <c r="BI104" s="108"/>
      <c r="BJ104" s="108"/>
      <c r="BK104" s="108"/>
      <c r="BL104" s="108"/>
      <c r="BM104" s="102"/>
      <c r="BN104" s="102"/>
      <c r="BO104" s="102"/>
      <c r="BP104" s="102"/>
      <c r="BQ104" s="109"/>
      <c r="BR104" s="14"/>
    </row>
    <row r="105" ht="15.75" customHeight="1">
      <c r="B105" s="81"/>
      <c r="C105" s="95" t="s">
        <v>159</v>
      </c>
      <c r="D105" s="14" t="s">
        <v>148</v>
      </c>
      <c r="E105" s="96"/>
      <c r="F105" s="97"/>
      <c r="G105" s="98"/>
      <c r="H105" s="99">
        <v>0.0</v>
      </c>
      <c r="I105" s="100"/>
      <c r="J105" s="101"/>
      <c r="K105" s="102"/>
      <c r="L105" s="102"/>
      <c r="M105" s="102"/>
      <c r="N105" s="102"/>
      <c r="O105" s="103"/>
      <c r="P105" s="103"/>
      <c r="Q105" s="103"/>
      <c r="R105" s="103"/>
      <c r="S105" s="103"/>
      <c r="T105" s="102"/>
      <c r="U105" s="102"/>
      <c r="V105" s="102"/>
      <c r="W105" s="102"/>
      <c r="X105" s="104"/>
      <c r="Y105" s="105"/>
      <c r="Z105" s="102"/>
      <c r="AA105" s="102"/>
      <c r="AB105" s="102"/>
      <c r="AC105" s="102"/>
      <c r="AD105" s="106"/>
      <c r="AE105" s="106"/>
      <c r="AF105" s="106"/>
      <c r="AG105" s="106"/>
      <c r="AH105" s="106"/>
      <c r="AI105" s="102"/>
      <c r="AJ105" s="102"/>
      <c r="AK105" s="102"/>
      <c r="AL105" s="102"/>
      <c r="AM105" s="104"/>
      <c r="AN105" s="105"/>
      <c r="AO105" s="102"/>
      <c r="AP105" s="102"/>
      <c r="AQ105" s="102"/>
      <c r="AR105" s="102"/>
      <c r="AS105" s="107"/>
      <c r="AT105" s="107"/>
      <c r="AU105" s="107"/>
      <c r="AV105" s="107"/>
      <c r="AW105" s="107"/>
      <c r="AX105" s="102"/>
      <c r="AY105" s="102"/>
      <c r="AZ105" s="102"/>
      <c r="BA105" s="102"/>
      <c r="BB105" s="104"/>
      <c r="BC105" s="105"/>
      <c r="BD105" s="102"/>
      <c r="BE105" s="102"/>
      <c r="BF105" s="102"/>
      <c r="BG105" s="102"/>
      <c r="BH105" s="108"/>
      <c r="BI105" s="108"/>
      <c r="BJ105" s="108"/>
      <c r="BK105" s="108"/>
      <c r="BL105" s="108"/>
      <c r="BM105" s="102"/>
      <c r="BN105" s="102"/>
      <c r="BO105" s="102"/>
      <c r="BP105" s="102"/>
      <c r="BQ105" s="109"/>
      <c r="BR105" s="14"/>
    </row>
    <row r="106" ht="15.75" customHeight="1">
      <c r="B106" s="81"/>
      <c r="C106" s="156" t="s">
        <v>160</v>
      </c>
      <c r="D106" s="83"/>
      <c r="E106" s="84"/>
      <c r="F106" s="85"/>
      <c r="G106" s="86" t="str">
        <f t="shared" ref="G106:G107" si="12">IF(F106-E106=0,"",F106-E106)</f>
        <v/>
      </c>
      <c r="H106" s="87"/>
      <c r="I106" s="88">
        <f t="shared" ref="I106:I107" si="13">IF(H106=100%,1,0)</f>
        <v>0</v>
      </c>
      <c r="J106" s="89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1"/>
      <c r="Y106" s="92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1"/>
      <c r="AN106" s="92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1"/>
      <c r="BC106" s="92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3"/>
      <c r="BR106" s="94"/>
    </row>
    <row r="107" ht="15.75" customHeight="1">
      <c r="B107" s="81"/>
      <c r="C107" s="196" t="s">
        <v>161</v>
      </c>
      <c r="D107" s="83"/>
      <c r="E107" s="84"/>
      <c r="F107" s="85"/>
      <c r="G107" s="86" t="str">
        <f t="shared" si="12"/>
        <v/>
      </c>
      <c r="H107" s="87"/>
      <c r="I107" s="88">
        <f t="shared" si="13"/>
        <v>0</v>
      </c>
      <c r="J107" s="89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1"/>
      <c r="Y107" s="92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1"/>
      <c r="AN107" s="92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1"/>
      <c r="BC107" s="92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3"/>
      <c r="BR107" s="94"/>
    </row>
    <row r="108" ht="15.75" customHeight="1">
      <c r="B108" s="81"/>
      <c r="C108" s="95" t="s">
        <v>162</v>
      </c>
      <c r="D108" s="14" t="s">
        <v>88</v>
      </c>
      <c r="E108" s="96"/>
      <c r="F108" s="197"/>
      <c r="G108" s="98"/>
      <c r="H108" s="99">
        <v>0.0</v>
      </c>
      <c r="I108" s="100"/>
      <c r="J108" s="101"/>
      <c r="K108" s="102"/>
      <c r="L108" s="102"/>
      <c r="M108" s="102"/>
      <c r="N108" s="102"/>
      <c r="O108" s="103"/>
      <c r="P108" s="103"/>
      <c r="Q108" s="103"/>
      <c r="R108" s="103"/>
      <c r="S108" s="103"/>
      <c r="T108" s="102"/>
      <c r="U108" s="102"/>
      <c r="V108" s="102"/>
      <c r="W108" s="102"/>
      <c r="X108" s="104"/>
      <c r="Y108" s="105"/>
      <c r="Z108" s="102"/>
      <c r="AA108" s="102"/>
      <c r="AB108" s="102"/>
      <c r="AC108" s="102"/>
      <c r="AD108" s="106"/>
      <c r="AE108" s="106"/>
      <c r="AF108" s="106"/>
      <c r="AG108" s="106"/>
      <c r="AH108" s="106"/>
      <c r="AI108" s="102"/>
      <c r="AJ108" s="102"/>
      <c r="AK108" s="102"/>
      <c r="AL108" s="102"/>
      <c r="AM108" s="104"/>
      <c r="AN108" s="105"/>
      <c r="AO108" s="102"/>
      <c r="AP108" s="102"/>
      <c r="AQ108" s="102"/>
      <c r="AR108" s="102"/>
      <c r="AS108" s="107"/>
      <c r="AT108" s="107"/>
      <c r="AU108" s="107"/>
      <c r="AV108" s="107"/>
      <c r="AW108" s="107"/>
      <c r="AX108" s="102"/>
      <c r="AY108" s="102"/>
      <c r="AZ108" s="102"/>
      <c r="BA108" s="102"/>
      <c r="BB108" s="104"/>
      <c r="BC108" s="105"/>
      <c r="BD108" s="102"/>
      <c r="BE108" s="102"/>
      <c r="BF108" s="102"/>
      <c r="BG108" s="102"/>
      <c r="BH108" s="108"/>
      <c r="BI108" s="108"/>
      <c r="BJ108" s="108"/>
      <c r="BK108" s="108"/>
      <c r="BL108" s="108"/>
      <c r="BM108" s="102"/>
      <c r="BN108" s="102"/>
      <c r="BO108" s="102"/>
      <c r="BP108" s="102"/>
      <c r="BQ108" s="109"/>
      <c r="BR108" s="14"/>
    </row>
    <row r="109" ht="15.75" customHeight="1">
      <c r="B109" s="81"/>
      <c r="C109" s="95" t="s">
        <v>163</v>
      </c>
      <c r="D109" s="14" t="s">
        <v>88</v>
      </c>
      <c r="E109" s="96"/>
      <c r="F109" s="197"/>
      <c r="G109" s="98"/>
      <c r="H109" s="99">
        <v>0.0</v>
      </c>
      <c r="I109" s="100"/>
      <c r="J109" s="101"/>
      <c r="K109" s="102"/>
      <c r="L109" s="102"/>
      <c r="M109" s="102"/>
      <c r="N109" s="102"/>
      <c r="O109" s="103"/>
      <c r="P109" s="103"/>
      <c r="Q109" s="103"/>
      <c r="R109" s="103"/>
      <c r="S109" s="103"/>
      <c r="T109" s="102"/>
      <c r="U109" s="102"/>
      <c r="V109" s="102"/>
      <c r="W109" s="102"/>
      <c r="X109" s="104"/>
      <c r="Y109" s="105"/>
      <c r="Z109" s="102"/>
      <c r="AA109" s="102"/>
      <c r="AB109" s="102"/>
      <c r="AC109" s="102"/>
      <c r="AD109" s="106"/>
      <c r="AE109" s="106"/>
      <c r="AF109" s="106"/>
      <c r="AG109" s="106"/>
      <c r="AH109" s="106"/>
      <c r="AI109" s="102"/>
      <c r="AJ109" s="102"/>
      <c r="AK109" s="102"/>
      <c r="AL109" s="102"/>
      <c r="AM109" s="104"/>
      <c r="AN109" s="105"/>
      <c r="AO109" s="102"/>
      <c r="AP109" s="102"/>
      <c r="AQ109" s="102"/>
      <c r="AR109" s="102"/>
      <c r="AS109" s="107"/>
      <c r="AT109" s="107"/>
      <c r="AU109" s="107"/>
      <c r="AV109" s="107"/>
      <c r="AW109" s="107"/>
      <c r="AX109" s="102"/>
      <c r="AY109" s="102"/>
      <c r="AZ109" s="102"/>
      <c r="BA109" s="102"/>
      <c r="BB109" s="104"/>
      <c r="BC109" s="105"/>
      <c r="BD109" s="102"/>
      <c r="BE109" s="102"/>
      <c r="BF109" s="102"/>
      <c r="BG109" s="102"/>
      <c r="BH109" s="108"/>
      <c r="BI109" s="108"/>
      <c r="BJ109" s="108"/>
      <c r="BK109" s="108"/>
      <c r="BL109" s="108"/>
      <c r="BM109" s="102"/>
      <c r="BN109" s="102"/>
      <c r="BO109" s="102"/>
      <c r="BP109" s="102"/>
      <c r="BQ109" s="109"/>
      <c r="BR109" s="14"/>
    </row>
    <row r="110" ht="15.75" customHeight="1">
      <c r="B110" s="81"/>
      <c r="C110" s="95" t="s">
        <v>164</v>
      </c>
      <c r="D110" s="14" t="s">
        <v>88</v>
      </c>
      <c r="E110" s="96"/>
      <c r="F110" s="197"/>
      <c r="G110" s="98"/>
      <c r="H110" s="99">
        <v>0.0</v>
      </c>
      <c r="I110" s="100"/>
      <c r="J110" s="101"/>
      <c r="K110" s="102"/>
      <c r="L110" s="102"/>
      <c r="M110" s="102"/>
      <c r="N110" s="102"/>
      <c r="O110" s="103"/>
      <c r="P110" s="103"/>
      <c r="Q110" s="103"/>
      <c r="R110" s="103"/>
      <c r="S110" s="103"/>
      <c r="T110" s="102"/>
      <c r="U110" s="102"/>
      <c r="V110" s="102"/>
      <c r="W110" s="102"/>
      <c r="X110" s="104"/>
      <c r="Y110" s="105"/>
      <c r="Z110" s="102"/>
      <c r="AA110" s="102"/>
      <c r="AB110" s="102"/>
      <c r="AC110" s="102"/>
      <c r="AD110" s="106"/>
      <c r="AE110" s="106"/>
      <c r="AF110" s="106"/>
      <c r="AG110" s="106"/>
      <c r="AH110" s="106"/>
      <c r="AI110" s="102"/>
      <c r="AJ110" s="102"/>
      <c r="AK110" s="102"/>
      <c r="AL110" s="102"/>
      <c r="AM110" s="104"/>
      <c r="AN110" s="105"/>
      <c r="AO110" s="102"/>
      <c r="AP110" s="102"/>
      <c r="AQ110" s="102"/>
      <c r="AR110" s="102"/>
      <c r="AS110" s="107"/>
      <c r="AT110" s="107"/>
      <c r="AU110" s="107"/>
      <c r="AV110" s="107"/>
      <c r="AW110" s="107"/>
      <c r="AX110" s="102"/>
      <c r="AY110" s="102"/>
      <c r="AZ110" s="102"/>
      <c r="BA110" s="102"/>
      <c r="BB110" s="104"/>
      <c r="BC110" s="105"/>
      <c r="BD110" s="102"/>
      <c r="BE110" s="102"/>
      <c r="BF110" s="102"/>
      <c r="BG110" s="102"/>
      <c r="BH110" s="108"/>
      <c r="BI110" s="108"/>
      <c r="BJ110" s="108"/>
      <c r="BK110" s="108"/>
      <c r="BL110" s="108"/>
      <c r="BM110" s="102"/>
      <c r="BN110" s="102"/>
      <c r="BO110" s="102"/>
      <c r="BP110" s="102"/>
      <c r="BQ110" s="109"/>
      <c r="BR110" s="14"/>
    </row>
    <row r="111" ht="15.75" customHeight="1">
      <c r="B111" s="81"/>
      <c r="C111" s="196" t="s">
        <v>161</v>
      </c>
      <c r="D111" s="83"/>
      <c r="E111" s="84"/>
      <c r="F111" s="85"/>
      <c r="G111" s="86" t="str">
        <f>IF(F111-E111=0,"",F111-E111)</f>
        <v/>
      </c>
      <c r="H111" s="87"/>
      <c r="I111" s="88">
        <f>IF(H111=100%,1,0)</f>
        <v>0</v>
      </c>
      <c r="J111" s="89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1"/>
      <c r="Y111" s="92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1"/>
      <c r="AN111" s="92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1"/>
      <c r="BC111" s="92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3"/>
      <c r="BR111" s="94"/>
    </row>
    <row r="112" ht="15.75" customHeight="1">
      <c r="B112" s="81"/>
      <c r="C112" s="95" t="s">
        <v>165</v>
      </c>
      <c r="D112" s="14" t="s">
        <v>88</v>
      </c>
      <c r="E112" s="96"/>
      <c r="F112" s="197"/>
      <c r="G112" s="98"/>
      <c r="H112" s="99">
        <v>0.0</v>
      </c>
      <c r="I112" s="100"/>
      <c r="J112" s="101"/>
      <c r="K112" s="102"/>
      <c r="L112" s="102"/>
      <c r="M112" s="102"/>
      <c r="N112" s="102"/>
      <c r="O112" s="103"/>
      <c r="P112" s="103"/>
      <c r="Q112" s="103"/>
      <c r="R112" s="103"/>
      <c r="S112" s="103"/>
      <c r="T112" s="102"/>
      <c r="U112" s="102"/>
      <c r="V112" s="102"/>
      <c r="W112" s="102"/>
      <c r="X112" s="104"/>
      <c r="Y112" s="105"/>
      <c r="Z112" s="102"/>
      <c r="AA112" s="102"/>
      <c r="AB112" s="102"/>
      <c r="AC112" s="102"/>
      <c r="AD112" s="106"/>
      <c r="AE112" s="106"/>
      <c r="AF112" s="106"/>
      <c r="AG112" s="106"/>
      <c r="AH112" s="106"/>
      <c r="AI112" s="102"/>
      <c r="AJ112" s="102"/>
      <c r="AK112" s="102"/>
      <c r="AL112" s="102"/>
      <c r="AM112" s="104"/>
      <c r="AN112" s="105"/>
      <c r="AO112" s="102"/>
      <c r="AP112" s="102"/>
      <c r="AQ112" s="102"/>
      <c r="AR112" s="102"/>
      <c r="AS112" s="107"/>
      <c r="AT112" s="107"/>
      <c r="AU112" s="107"/>
      <c r="AV112" s="107"/>
      <c r="AW112" s="107"/>
      <c r="AX112" s="102"/>
      <c r="AY112" s="102"/>
      <c r="AZ112" s="102"/>
      <c r="BA112" s="102"/>
      <c r="BB112" s="104"/>
      <c r="BC112" s="105"/>
      <c r="BD112" s="102"/>
      <c r="BE112" s="102"/>
      <c r="BF112" s="102"/>
      <c r="BG112" s="102"/>
      <c r="BH112" s="108"/>
      <c r="BI112" s="108"/>
      <c r="BJ112" s="108"/>
      <c r="BK112" s="108"/>
      <c r="BL112" s="108"/>
      <c r="BM112" s="102"/>
      <c r="BN112" s="102"/>
      <c r="BO112" s="102"/>
      <c r="BP112" s="102"/>
      <c r="BQ112" s="109"/>
      <c r="BR112" s="14"/>
    </row>
    <row r="113" ht="15.75" customHeight="1">
      <c r="B113" s="81"/>
      <c r="C113" s="95" t="s">
        <v>166</v>
      </c>
      <c r="D113" s="14" t="s">
        <v>88</v>
      </c>
      <c r="E113" s="96"/>
      <c r="F113" s="197"/>
      <c r="G113" s="98"/>
      <c r="H113" s="99">
        <v>0.0</v>
      </c>
      <c r="I113" s="100"/>
      <c r="J113" s="101"/>
      <c r="K113" s="102"/>
      <c r="L113" s="102"/>
      <c r="M113" s="102"/>
      <c r="N113" s="102"/>
      <c r="O113" s="103"/>
      <c r="P113" s="103"/>
      <c r="Q113" s="103"/>
      <c r="R113" s="103"/>
      <c r="S113" s="103"/>
      <c r="T113" s="102"/>
      <c r="U113" s="102"/>
      <c r="V113" s="102"/>
      <c r="W113" s="102"/>
      <c r="X113" s="104"/>
      <c r="Y113" s="105"/>
      <c r="Z113" s="102"/>
      <c r="AA113" s="102"/>
      <c r="AB113" s="102"/>
      <c r="AC113" s="102"/>
      <c r="AD113" s="106"/>
      <c r="AE113" s="106"/>
      <c r="AF113" s="106"/>
      <c r="AG113" s="106"/>
      <c r="AH113" s="106"/>
      <c r="AI113" s="102"/>
      <c r="AJ113" s="102"/>
      <c r="AK113" s="102"/>
      <c r="AL113" s="102"/>
      <c r="AM113" s="104"/>
      <c r="AN113" s="105"/>
      <c r="AO113" s="102"/>
      <c r="AP113" s="102"/>
      <c r="AQ113" s="102"/>
      <c r="AR113" s="102"/>
      <c r="AS113" s="107"/>
      <c r="AT113" s="107"/>
      <c r="AU113" s="107"/>
      <c r="AV113" s="107"/>
      <c r="AW113" s="107"/>
      <c r="AX113" s="102"/>
      <c r="AY113" s="102"/>
      <c r="AZ113" s="102"/>
      <c r="BA113" s="102"/>
      <c r="BB113" s="104"/>
      <c r="BC113" s="105"/>
      <c r="BD113" s="102"/>
      <c r="BE113" s="102"/>
      <c r="BF113" s="102"/>
      <c r="BG113" s="102"/>
      <c r="BH113" s="108"/>
      <c r="BI113" s="108"/>
      <c r="BJ113" s="108"/>
      <c r="BK113" s="108"/>
      <c r="BL113" s="108"/>
      <c r="BM113" s="102"/>
      <c r="BN113" s="102"/>
      <c r="BO113" s="102"/>
      <c r="BP113" s="102"/>
      <c r="BQ113" s="109"/>
      <c r="BR113" s="14"/>
    </row>
    <row r="114" ht="15.75" customHeight="1">
      <c r="B114" s="81"/>
      <c r="C114" s="196" t="s">
        <v>167</v>
      </c>
      <c r="D114" s="83"/>
      <c r="E114" s="84"/>
      <c r="F114" s="85"/>
      <c r="G114" s="86" t="str">
        <f>IF(F114-E114=0,"",F114-E114)</f>
        <v/>
      </c>
      <c r="H114" s="87"/>
      <c r="I114" s="88">
        <f>IF(H114=100%,1,0)</f>
        <v>0</v>
      </c>
      <c r="J114" s="89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1"/>
      <c r="Y114" s="92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1"/>
      <c r="AN114" s="92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1"/>
      <c r="BC114" s="92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3"/>
      <c r="BR114" s="94"/>
    </row>
    <row r="115" ht="15.75" customHeight="1">
      <c r="B115" s="81"/>
      <c r="C115" s="95" t="s">
        <v>168</v>
      </c>
      <c r="D115" s="14" t="s">
        <v>58</v>
      </c>
      <c r="E115" s="96"/>
      <c r="F115" s="197"/>
      <c r="G115" s="98"/>
      <c r="H115" s="99">
        <v>0.0</v>
      </c>
      <c r="I115" s="100"/>
      <c r="J115" s="101"/>
      <c r="K115" s="102"/>
      <c r="L115" s="102"/>
      <c r="M115" s="102"/>
      <c r="N115" s="102"/>
      <c r="O115" s="103"/>
      <c r="P115" s="103"/>
      <c r="Q115" s="103"/>
      <c r="R115" s="103"/>
      <c r="S115" s="103"/>
      <c r="T115" s="102"/>
      <c r="U115" s="102"/>
      <c r="V115" s="102"/>
      <c r="W115" s="102"/>
      <c r="X115" s="104"/>
      <c r="Y115" s="105"/>
      <c r="Z115" s="102"/>
      <c r="AA115" s="102"/>
      <c r="AB115" s="102"/>
      <c r="AC115" s="102"/>
      <c r="AD115" s="106"/>
      <c r="AE115" s="106"/>
      <c r="AF115" s="106"/>
      <c r="AG115" s="106"/>
      <c r="AH115" s="106"/>
      <c r="AI115" s="102"/>
      <c r="AJ115" s="102"/>
      <c r="AK115" s="102"/>
      <c r="AL115" s="102"/>
      <c r="AM115" s="104"/>
      <c r="AN115" s="105"/>
      <c r="AO115" s="102"/>
      <c r="AP115" s="102"/>
      <c r="AQ115" s="102"/>
      <c r="AR115" s="102"/>
      <c r="AS115" s="107"/>
      <c r="AT115" s="107"/>
      <c r="AU115" s="107"/>
      <c r="AV115" s="107"/>
      <c r="AW115" s="107"/>
      <c r="AX115" s="102"/>
      <c r="AY115" s="102"/>
      <c r="AZ115" s="102"/>
      <c r="BA115" s="102"/>
      <c r="BB115" s="104"/>
      <c r="BC115" s="105"/>
      <c r="BD115" s="102"/>
      <c r="BE115" s="102"/>
      <c r="BF115" s="102"/>
      <c r="BG115" s="102"/>
      <c r="BH115" s="108"/>
      <c r="BI115" s="108"/>
      <c r="BJ115" s="108"/>
      <c r="BK115" s="108"/>
      <c r="BL115" s="108"/>
      <c r="BM115" s="102"/>
      <c r="BN115" s="102"/>
      <c r="BO115" s="102"/>
      <c r="BP115" s="102"/>
      <c r="BQ115" s="109"/>
      <c r="BR115" s="14"/>
    </row>
    <row r="116" ht="15.75" customHeight="1">
      <c r="B116" s="81"/>
      <c r="C116" s="95" t="s">
        <v>169</v>
      </c>
      <c r="D116" s="14" t="s">
        <v>58</v>
      </c>
      <c r="E116" s="96"/>
      <c r="F116" s="197"/>
      <c r="G116" s="98"/>
      <c r="H116" s="99">
        <v>0.0</v>
      </c>
      <c r="I116" s="100"/>
      <c r="J116" s="101"/>
      <c r="K116" s="102"/>
      <c r="L116" s="102"/>
      <c r="M116" s="102"/>
      <c r="N116" s="102"/>
      <c r="O116" s="103"/>
      <c r="P116" s="103"/>
      <c r="Q116" s="103"/>
      <c r="R116" s="103"/>
      <c r="S116" s="103"/>
      <c r="T116" s="102"/>
      <c r="U116" s="102"/>
      <c r="V116" s="102"/>
      <c r="W116" s="102"/>
      <c r="X116" s="104"/>
      <c r="Y116" s="105"/>
      <c r="Z116" s="102"/>
      <c r="AA116" s="102"/>
      <c r="AB116" s="102"/>
      <c r="AC116" s="102"/>
      <c r="AD116" s="106"/>
      <c r="AE116" s="106"/>
      <c r="AF116" s="106"/>
      <c r="AG116" s="106"/>
      <c r="AH116" s="106"/>
      <c r="AI116" s="102"/>
      <c r="AJ116" s="102"/>
      <c r="AK116" s="102"/>
      <c r="AL116" s="102"/>
      <c r="AM116" s="104"/>
      <c r="AN116" s="105"/>
      <c r="AO116" s="102"/>
      <c r="AP116" s="102"/>
      <c r="AQ116" s="102"/>
      <c r="AR116" s="102"/>
      <c r="AS116" s="107"/>
      <c r="AT116" s="107"/>
      <c r="AU116" s="107"/>
      <c r="AV116" s="107"/>
      <c r="AW116" s="107"/>
      <c r="AX116" s="102"/>
      <c r="AY116" s="102"/>
      <c r="AZ116" s="102"/>
      <c r="BA116" s="102"/>
      <c r="BB116" s="104"/>
      <c r="BC116" s="105"/>
      <c r="BD116" s="102"/>
      <c r="BE116" s="102"/>
      <c r="BF116" s="102"/>
      <c r="BG116" s="102"/>
      <c r="BH116" s="108"/>
      <c r="BI116" s="108"/>
      <c r="BJ116" s="108"/>
      <c r="BK116" s="108"/>
      <c r="BL116" s="108"/>
      <c r="BM116" s="102"/>
      <c r="BN116" s="102"/>
      <c r="BO116" s="102"/>
      <c r="BP116" s="102"/>
      <c r="BQ116" s="109"/>
      <c r="BR116" s="14"/>
    </row>
    <row r="117" ht="15.75" customHeight="1">
      <c r="B117" s="81"/>
      <c r="C117" s="95" t="s">
        <v>170</v>
      </c>
      <c r="D117" s="14" t="s">
        <v>58</v>
      </c>
      <c r="E117" s="96"/>
      <c r="F117" s="197"/>
      <c r="G117" s="98"/>
      <c r="H117" s="99">
        <v>0.0</v>
      </c>
      <c r="I117" s="100"/>
      <c r="J117" s="101"/>
      <c r="K117" s="102"/>
      <c r="L117" s="102"/>
      <c r="M117" s="102"/>
      <c r="N117" s="102"/>
      <c r="O117" s="103"/>
      <c r="P117" s="103"/>
      <c r="Q117" s="103"/>
      <c r="R117" s="103"/>
      <c r="S117" s="103"/>
      <c r="T117" s="102"/>
      <c r="U117" s="102"/>
      <c r="V117" s="102"/>
      <c r="W117" s="102"/>
      <c r="X117" s="104"/>
      <c r="Y117" s="105"/>
      <c r="Z117" s="102"/>
      <c r="AA117" s="102"/>
      <c r="AB117" s="102"/>
      <c r="AC117" s="102"/>
      <c r="AD117" s="106"/>
      <c r="AE117" s="106"/>
      <c r="AF117" s="106"/>
      <c r="AG117" s="106"/>
      <c r="AH117" s="106"/>
      <c r="AI117" s="102"/>
      <c r="AJ117" s="102"/>
      <c r="AK117" s="102"/>
      <c r="AL117" s="102"/>
      <c r="AM117" s="104"/>
      <c r="AN117" s="105"/>
      <c r="AO117" s="102"/>
      <c r="AP117" s="102"/>
      <c r="AQ117" s="102"/>
      <c r="AR117" s="102"/>
      <c r="AS117" s="107"/>
      <c r="AT117" s="107"/>
      <c r="AU117" s="107"/>
      <c r="AV117" s="107"/>
      <c r="AW117" s="107"/>
      <c r="AX117" s="102"/>
      <c r="AY117" s="102"/>
      <c r="AZ117" s="102"/>
      <c r="BA117" s="102"/>
      <c r="BB117" s="104"/>
      <c r="BC117" s="105"/>
      <c r="BD117" s="102"/>
      <c r="BE117" s="102"/>
      <c r="BF117" s="102"/>
      <c r="BG117" s="102"/>
      <c r="BH117" s="108"/>
      <c r="BI117" s="108"/>
      <c r="BJ117" s="108"/>
      <c r="BK117" s="108"/>
      <c r="BL117" s="108"/>
      <c r="BM117" s="102"/>
      <c r="BN117" s="102"/>
      <c r="BO117" s="102"/>
      <c r="BP117" s="102"/>
      <c r="BQ117" s="109"/>
      <c r="BR117" s="14"/>
    </row>
    <row r="118" ht="15.75" customHeight="1">
      <c r="B118" s="81"/>
      <c r="C118" s="95" t="s">
        <v>171</v>
      </c>
      <c r="D118" s="171" t="s">
        <v>75</v>
      </c>
      <c r="E118" s="96"/>
      <c r="F118" s="197"/>
      <c r="G118" s="98"/>
      <c r="H118" s="99">
        <v>0.0</v>
      </c>
      <c r="I118" s="100"/>
      <c r="J118" s="101"/>
      <c r="K118" s="102"/>
      <c r="L118" s="102"/>
      <c r="M118" s="102"/>
      <c r="N118" s="102"/>
      <c r="O118" s="103"/>
      <c r="P118" s="103"/>
      <c r="Q118" s="103"/>
      <c r="R118" s="103"/>
      <c r="S118" s="103"/>
      <c r="T118" s="102"/>
      <c r="U118" s="102"/>
      <c r="V118" s="102"/>
      <c r="W118" s="102"/>
      <c r="X118" s="104"/>
      <c r="Y118" s="105"/>
      <c r="Z118" s="102"/>
      <c r="AA118" s="102"/>
      <c r="AB118" s="102"/>
      <c r="AC118" s="102"/>
      <c r="AD118" s="106"/>
      <c r="AE118" s="106"/>
      <c r="AF118" s="106"/>
      <c r="AG118" s="106"/>
      <c r="AH118" s="106"/>
      <c r="AI118" s="102"/>
      <c r="AJ118" s="102"/>
      <c r="AK118" s="102"/>
      <c r="AL118" s="102"/>
      <c r="AM118" s="104"/>
      <c r="AN118" s="105"/>
      <c r="AO118" s="102"/>
      <c r="AP118" s="102"/>
      <c r="AQ118" s="102"/>
      <c r="AR118" s="102"/>
      <c r="AS118" s="107"/>
      <c r="AT118" s="107"/>
      <c r="AU118" s="107"/>
      <c r="AV118" s="107"/>
      <c r="AW118" s="107"/>
      <c r="AX118" s="102"/>
      <c r="AY118" s="102"/>
      <c r="AZ118" s="102"/>
      <c r="BA118" s="102"/>
      <c r="BB118" s="104"/>
      <c r="BC118" s="105"/>
      <c r="BD118" s="102"/>
      <c r="BE118" s="102"/>
      <c r="BF118" s="102"/>
      <c r="BG118" s="102"/>
      <c r="BH118" s="108"/>
      <c r="BI118" s="108"/>
      <c r="BJ118" s="108"/>
      <c r="BK118" s="108"/>
      <c r="BL118" s="108"/>
      <c r="BM118" s="102"/>
      <c r="BN118" s="102"/>
      <c r="BO118" s="102"/>
      <c r="BP118" s="102"/>
      <c r="BQ118" s="109"/>
      <c r="BR118" s="14"/>
    </row>
    <row r="119" ht="15.75" customHeight="1">
      <c r="B119" s="81"/>
      <c r="C119" s="196" t="s">
        <v>172</v>
      </c>
      <c r="D119" s="83"/>
      <c r="E119" s="84"/>
      <c r="F119" s="85"/>
      <c r="G119" s="86" t="str">
        <f>IF(F119-E119=0,"",F119-E119)</f>
        <v/>
      </c>
      <c r="H119" s="87"/>
      <c r="I119" s="88">
        <f>IF(H119=100%,1,0)</f>
        <v>0</v>
      </c>
      <c r="J119" s="89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1"/>
      <c r="Y119" s="92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1"/>
      <c r="AN119" s="92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1"/>
      <c r="BC119" s="92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3"/>
      <c r="BR119" s="94"/>
    </row>
    <row r="120" ht="15.75" customHeight="1">
      <c r="B120" s="81"/>
      <c r="C120" s="95" t="s">
        <v>173</v>
      </c>
      <c r="D120" s="14" t="s">
        <v>58</v>
      </c>
      <c r="E120" s="96"/>
      <c r="F120" s="197"/>
      <c r="G120" s="98"/>
      <c r="H120" s="99">
        <v>0.0</v>
      </c>
      <c r="I120" s="100"/>
      <c r="J120" s="101"/>
      <c r="K120" s="102"/>
      <c r="L120" s="102"/>
      <c r="M120" s="102"/>
      <c r="N120" s="102"/>
      <c r="O120" s="103"/>
      <c r="P120" s="103"/>
      <c r="Q120" s="103"/>
      <c r="R120" s="103"/>
      <c r="S120" s="103"/>
      <c r="T120" s="102"/>
      <c r="U120" s="102"/>
      <c r="V120" s="102"/>
      <c r="W120" s="102"/>
      <c r="X120" s="104"/>
      <c r="Y120" s="105"/>
      <c r="Z120" s="102"/>
      <c r="AA120" s="102"/>
      <c r="AB120" s="102"/>
      <c r="AC120" s="102"/>
      <c r="AD120" s="106"/>
      <c r="AE120" s="106"/>
      <c r="AF120" s="106"/>
      <c r="AG120" s="106"/>
      <c r="AH120" s="106"/>
      <c r="AI120" s="102"/>
      <c r="AJ120" s="102"/>
      <c r="AK120" s="102"/>
      <c r="AL120" s="102"/>
      <c r="AM120" s="104"/>
      <c r="AN120" s="105"/>
      <c r="AO120" s="102"/>
      <c r="AP120" s="102"/>
      <c r="AQ120" s="102"/>
      <c r="AR120" s="102"/>
      <c r="AS120" s="107"/>
      <c r="AT120" s="107"/>
      <c r="AU120" s="107"/>
      <c r="AV120" s="107"/>
      <c r="AW120" s="107"/>
      <c r="AX120" s="102"/>
      <c r="AY120" s="102"/>
      <c r="AZ120" s="102"/>
      <c r="BA120" s="102"/>
      <c r="BB120" s="104"/>
      <c r="BC120" s="105"/>
      <c r="BD120" s="102"/>
      <c r="BE120" s="102"/>
      <c r="BF120" s="102"/>
      <c r="BG120" s="102"/>
      <c r="BH120" s="108"/>
      <c r="BI120" s="108"/>
      <c r="BJ120" s="108"/>
      <c r="BK120" s="108"/>
      <c r="BL120" s="108"/>
      <c r="BM120" s="102"/>
      <c r="BN120" s="102"/>
      <c r="BO120" s="102"/>
      <c r="BP120" s="102"/>
      <c r="BQ120" s="109"/>
      <c r="BR120" s="14"/>
    </row>
    <row r="121" ht="15.75" customHeight="1">
      <c r="B121" s="81"/>
      <c r="C121" s="95" t="s">
        <v>174</v>
      </c>
      <c r="D121" s="14" t="s">
        <v>58</v>
      </c>
      <c r="E121" s="96"/>
      <c r="F121" s="197"/>
      <c r="G121" s="98"/>
      <c r="H121" s="99">
        <v>0.0</v>
      </c>
      <c r="I121" s="100"/>
      <c r="J121" s="101"/>
      <c r="K121" s="102"/>
      <c r="L121" s="102"/>
      <c r="M121" s="102"/>
      <c r="N121" s="102"/>
      <c r="O121" s="103"/>
      <c r="P121" s="103"/>
      <c r="Q121" s="103"/>
      <c r="R121" s="103"/>
      <c r="S121" s="103"/>
      <c r="T121" s="102"/>
      <c r="U121" s="102"/>
      <c r="V121" s="102"/>
      <c r="W121" s="102"/>
      <c r="X121" s="104"/>
      <c r="Y121" s="105"/>
      <c r="Z121" s="102"/>
      <c r="AA121" s="102"/>
      <c r="AB121" s="102"/>
      <c r="AC121" s="102"/>
      <c r="AD121" s="106"/>
      <c r="AE121" s="106"/>
      <c r="AF121" s="106"/>
      <c r="AG121" s="106"/>
      <c r="AH121" s="106"/>
      <c r="AI121" s="102"/>
      <c r="AJ121" s="102"/>
      <c r="AK121" s="102"/>
      <c r="AL121" s="102"/>
      <c r="AM121" s="104"/>
      <c r="AN121" s="105"/>
      <c r="AO121" s="102"/>
      <c r="AP121" s="102"/>
      <c r="AQ121" s="102"/>
      <c r="AR121" s="102"/>
      <c r="AS121" s="107"/>
      <c r="AT121" s="107"/>
      <c r="AU121" s="107"/>
      <c r="AV121" s="107"/>
      <c r="AW121" s="107"/>
      <c r="AX121" s="102"/>
      <c r="AY121" s="102"/>
      <c r="AZ121" s="102"/>
      <c r="BA121" s="102"/>
      <c r="BB121" s="104"/>
      <c r="BC121" s="105"/>
      <c r="BD121" s="102"/>
      <c r="BE121" s="102"/>
      <c r="BF121" s="102"/>
      <c r="BG121" s="102"/>
      <c r="BH121" s="108"/>
      <c r="BI121" s="108"/>
      <c r="BJ121" s="108"/>
      <c r="BK121" s="108"/>
      <c r="BL121" s="108"/>
      <c r="BM121" s="102"/>
      <c r="BN121" s="102"/>
      <c r="BO121" s="102"/>
      <c r="BP121" s="102"/>
      <c r="BQ121" s="109"/>
      <c r="BR121" s="14"/>
    </row>
    <row r="122" ht="15.75" customHeight="1">
      <c r="B122" s="81"/>
      <c r="C122" s="95" t="s">
        <v>175</v>
      </c>
      <c r="D122" s="14" t="s">
        <v>58</v>
      </c>
      <c r="E122" s="96"/>
      <c r="F122" s="197"/>
      <c r="G122" s="98"/>
      <c r="H122" s="99">
        <v>0.0</v>
      </c>
      <c r="I122" s="100"/>
      <c r="J122" s="101"/>
      <c r="K122" s="102"/>
      <c r="L122" s="102"/>
      <c r="M122" s="102"/>
      <c r="N122" s="102"/>
      <c r="O122" s="103"/>
      <c r="P122" s="103"/>
      <c r="Q122" s="103"/>
      <c r="R122" s="103"/>
      <c r="S122" s="103"/>
      <c r="T122" s="102"/>
      <c r="U122" s="102"/>
      <c r="V122" s="102"/>
      <c r="W122" s="102"/>
      <c r="X122" s="104"/>
      <c r="Y122" s="105"/>
      <c r="Z122" s="102"/>
      <c r="AA122" s="102"/>
      <c r="AB122" s="102"/>
      <c r="AC122" s="102"/>
      <c r="AD122" s="106"/>
      <c r="AE122" s="106"/>
      <c r="AF122" s="106"/>
      <c r="AG122" s="106"/>
      <c r="AH122" s="106"/>
      <c r="AI122" s="102"/>
      <c r="AJ122" s="102"/>
      <c r="AK122" s="102"/>
      <c r="AL122" s="102"/>
      <c r="AM122" s="104"/>
      <c r="AN122" s="105"/>
      <c r="AO122" s="102"/>
      <c r="AP122" s="102"/>
      <c r="AQ122" s="102"/>
      <c r="AR122" s="102"/>
      <c r="AS122" s="107"/>
      <c r="AT122" s="107"/>
      <c r="AU122" s="107"/>
      <c r="AV122" s="107"/>
      <c r="AW122" s="107"/>
      <c r="AX122" s="102"/>
      <c r="AY122" s="102"/>
      <c r="AZ122" s="102"/>
      <c r="BA122" s="102"/>
      <c r="BB122" s="104"/>
      <c r="BC122" s="105"/>
      <c r="BD122" s="102"/>
      <c r="BE122" s="102"/>
      <c r="BF122" s="102"/>
      <c r="BG122" s="102"/>
      <c r="BH122" s="108"/>
      <c r="BI122" s="108"/>
      <c r="BJ122" s="108"/>
      <c r="BK122" s="108"/>
      <c r="BL122" s="108"/>
      <c r="BM122" s="102"/>
      <c r="BN122" s="102"/>
      <c r="BO122" s="102"/>
      <c r="BP122" s="102"/>
      <c r="BQ122" s="109"/>
      <c r="BR122" s="14"/>
    </row>
    <row r="123" ht="15.75" customHeight="1"/>
    <row r="124" ht="15.75" customHeight="1"/>
    <row r="125" ht="15.75" customHeight="1">
      <c r="B125" s="14" t="s">
        <v>176</v>
      </c>
      <c r="C125" s="198"/>
      <c r="D125" s="199"/>
      <c r="E125" s="14" t="s">
        <v>177</v>
      </c>
      <c r="F125" s="14"/>
      <c r="G125" s="14"/>
      <c r="H125" s="14"/>
      <c r="I125" s="14"/>
      <c r="J125" s="14"/>
      <c r="K125" s="14" t="s">
        <v>178</v>
      </c>
      <c r="L125" s="14"/>
      <c r="M125" s="14"/>
      <c r="N125" s="14"/>
      <c r="O125" s="14"/>
      <c r="P125" s="14"/>
      <c r="Q125" s="14"/>
      <c r="R125" s="14"/>
    </row>
    <row r="126" ht="15.75" customHeight="1"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5.75" customHeight="1">
      <c r="C127" s="200" t="s">
        <v>75</v>
      </c>
      <c r="D127" s="201" t="s">
        <v>58</v>
      </c>
      <c r="E127" s="14"/>
      <c r="F127" s="201" t="s">
        <v>179</v>
      </c>
      <c r="G127" s="14"/>
      <c r="H127" s="14"/>
      <c r="I127" s="14"/>
      <c r="J127" s="14"/>
      <c r="K127" s="14"/>
      <c r="L127" s="14"/>
      <c r="N127" s="14"/>
      <c r="O127" s="201" t="s">
        <v>180</v>
      </c>
      <c r="P127" s="14"/>
      <c r="Q127" s="14"/>
      <c r="R127" s="14"/>
    </row>
    <row r="128" ht="15.75" customHeight="1">
      <c r="C128" s="202" t="s">
        <v>181</v>
      </c>
      <c r="D128" s="202" t="s">
        <v>181</v>
      </c>
      <c r="E128" s="14"/>
      <c r="F128" s="14" t="s">
        <v>182</v>
      </c>
      <c r="G128" s="14"/>
      <c r="H128" s="14"/>
      <c r="I128" s="14"/>
      <c r="J128" s="14"/>
      <c r="K128" s="14"/>
      <c r="L128" s="14"/>
      <c r="N128" s="14"/>
      <c r="O128" s="14" t="s">
        <v>183</v>
      </c>
      <c r="P128" s="14"/>
      <c r="Q128" s="14"/>
      <c r="R128" s="14"/>
    </row>
    <row r="129" ht="15.75" customHeight="1">
      <c r="C129" s="201"/>
      <c r="D129" s="203"/>
    </row>
    <row r="130" ht="15.75" customHeight="1">
      <c r="C130" s="201" t="s">
        <v>148</v>
      </c>
      <c r="D130" s="201" t="s">
        <v>88</v>
      </c>
    </row>
    <row r="131" ht="15.75" customHeight="1">
      <c r="C131" s="202" t="s">
        <v>181</v>
      </c>
      <c r="D131" s="202" t="s">
        <v>181</v>
      </c>
    </row>
    <row r="132" ht="15.75" customHeight="1">
      <c r="C132" s="14"/>
    </row>
    <row r="133" ht="15.75" customHeight="1">
      <c r="C133" s="14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</sheetData>
  <mergeCells count="21">
    <mergeCell ref="AN8:BB8"/>
    <mergeCell ref="BC8:BQ8"/>
    <mergeCell ref="C2:H2"/>
    <mergeCell ref="C3:H3"/>
    <mergeCell ref="C4:H4"/>
    <mergeCell ref="C5:H5"/>
    <mergeCell ref="E6:H6"/>
    <mergeCell ref="J8:X8"/>
    <mergeCell ref="Y8:AM8"/>
    <mergeCell ref="AS9:AW9"/>
    <mergeCell ref="AX9:BB9"/>
    <mergeCell ref="BC9:BG9"/>
    <mergeCell ref="BH9:BL9"/>
    <mergeCell ref="BM9:BQ9"/>
    <mergeCell ref="J9:N9"/>
    <mergeCell ref="O9:S9"/>
    <mergeCell ref="T9:X9"/>
    <mergeCell ref="Y9:AC9"/>
    <mergeCell ref="AD9:AH9"/>
    <mergeCell ref="AI9:AM9"/>
    <mergeCell ref="AN9:AR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